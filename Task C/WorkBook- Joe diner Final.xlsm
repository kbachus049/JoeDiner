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drawings/drawing1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0215" windowHeight="7140" tabRatio="903"/>
  </bookViews>
  <sheets>
    <sheet name="Homepage" sheetId="1" r:id="rId1"/>
    <sheet name="CusSearch" sheetId="28" r:id="rId2"/>
    <sheet name="StaffSearch" sheetId="29" r:id="rId3"/>
    <sheet name="Booking System" sheetId="2" r:id="rId4"/>
    <sheet name="Sheet2" sheetId="16" state="hidden" r:id="rId5"/>
    <sheet name="customer booking" sheetId="17" r:id="rId6"/>
    <sheet name="Temp Booking" sheetId="18" r:id="rId7"/>
    <sheet name="Order" sheetId="30" r:id="rId8"/>
    <sheet name="Menu" sheetId="21" r:id="rId9"/>
    <sheet name="Staff Data" sheetId="6" state="hidden" r:id="rId10"/>
    <sheet name="CashFlow" sheetId="19" state="hidden" r:id="rId11"/>
    <sheet name="Staff Payment" sheetId="5" state="hidden" r:id="rId12"/>
    <sheet name="Cutlery Count" sheetId="15" state="hidden" r:id="rId13"/>
    <sheet name="Staff scheduling" sheetId="20" state="hidden" r:id="rId14"/>
    <sheet name="New Staff" sheetId="25" state="hidden" r:id="rId15"/>
    <sheet name="Sheet5" sheetId="24" state="hidden" r:id="rId16"/>
    <sheet name="Staff details" sheetId="27" state="hidden" r:id="rId17"/>
    <sheet name="StaffNews" sheetId="31" state="hidden" r:id="rId18"/>
    <sheet name="Temp Staff" sheetId="26" r:id="rId19"/>
  </sheets>
  <definedNames>
    <definedName name="AprSun1">DATE(CalendarYear,4,1)-WEEKDAY(DATE(CalendarYear,4,1))+1</definedName>
    <definedName name="AugSun1">DATE(CalendarYear,8,1)-WEEKDAY(DATE(CalendarYear,8,1))+1</definedName>
    <definedName name="CalendarYear">#REF!</definedName>
    <definedName name="DecSun1">DATE(CalendarYear,12,1)-WEEKDAY(DATE(CalendarYear,12,1))+1</definedName>
    <definedName name="FebSun1">DATE(CalendarYear,2,1)-WEEKDAY(DATE(CalendarYear,2,1))+1</definedName>
    <definedName name="JanSun1">DATE(CalendarYear,1,1)-WEEKDAY(DATE(CalendarYear,1,1))+1</definedName>
    <definedName name="JulSun1">DATE(CalendarYear,7,1)-WEEKDAY(DATE(CalendarYear,7,1))+1</definedName>
    <definedName name="JunSun1">DATE(CalendarYear,6,1)-WEEKDAY(DATE(CalendarYear,6,1))+1</definedName>
    <definedName name="MarSun1">DATE(CalendarYear,3,1)-WEEKDAY(DATE(CalendarYear,3,1))+1</definedName>
    <definedName name="MaySun1">DATE(CalendarYear,5,1)-WEEKDAY(DATE(CalendarYear,5,1))+1</definedName>
    <definedName name="NovSun1">DATE(CalendarYear,11,1)-WEEKDAY(DATE(CalendarYear,11,1))+1</definedName>
    <definedName name="OctSun1">DATE(CalendarYear,10,1)-WEEKDAY(DATE(CalendarYear,10,1))+1</definedName>
    <definedName name="_xlnm.Print_Area" localSheetId="8">Menu!$B$3:$L$20</definedName>
    <definedName name="_xlnm.Print_Area" localSheetId="7">Order!$I$1:$P$17</definedName>
    <definedName name="_xlnm.Print_Area" localSheetId="13">'Staff scheduling'!$C$1:$Q$86</definedName>
    <definedName name="SepSun1">DATE(CalendarYear,9,1)-WEEKDAY(DATE(CalendarYear,9,1))+1</definedName>
  </definedNames>
  <calcPr calcId="145621" concurrentCalc="0"/>
</workbook>
</file>

<file path=xl/calcChain.xml><?xml version="1.0" encoding="utf-8"?>
<calcChain xmlns="http://schemas.openxmlformats.org/spreadsheetml/2006/main">
  <c r="L16" i="30" l="1"/>
  <c r="B19" i="1"/>
  <c r="L18" i="2"/>
  <c r="H2" i="18"/>
  <c r="O6" i="19"/>
  <c r="C4" i="19"/>
  <c r="D4" i="19"/>
  <c r="E4" i="19"/>
  <c r="F4" i="19"/>
  <c r="G4" i="19"/>
  <c r="H4" i="19"/>
  <c r="I4" i="19"/>
  <c r="J4" i="19"/>
  <c r="K4" i="19"/>
  <c r="L4" i="19"/>
  <c r="M4" i="19"/>
  <c r="N4" i="19"/>
  <c r="H7" i="17"/>
  <c r="K16" i="30"/>
  <c r="B7" i="20"/>
  <c r="B19" i="20"/>
  <c r="B8" i="20"/>
  <c r="B20" i="20"/>
  <c r="B32" i="20"/>
  <c r="B43" i="20"/>
  <c r="B55" i="20"/>
  <c r="B67" i="20"/>
  <c r="B79" i="20"/>
  <c r="B9" i="20"/>
  <c r="B21" i="20"/>
  <c r="B33" i="20"/>
  <c r="B44" i="20"/>
  <c r="B56" i="20"/>
  <c r="B68" i="20"/>
  <c r="B80" i="20"/>
  <c r="B10" i="20"/>
  <c r="B22" i="20"/>
  <c r="B34" i="20"/>
  <c r="B45" i="20"/>
  <c r="B57" i="20"/>
  <c r="B69" i="20"/>
  <c r="B81" i="20"/>
  <c r="B11" i="20"/>
  <c r="B23" i="20"/>
  <c r="B35" i="20"/>
  <c r="B46" i="20"/>
  <c r="B58" i="20"/>
  <c r="B70" i="20"/>
  <c r="B82" i="20"/>
  <c r="B12" i="20"/>
  <c r="B24" i="20"/>
  <c r="B36" i="20"/>
  <c r="B47" i="20"/>
  <c r="B59" i="20"/>
  <c r="B71" i="20"/>
  <c r="B83" i="20"/>
  <c r="B13" i="20"/>
  <c r="B25" i="20"/>
  <c r="B37" i="20"/>
  <c r="B48" i="20"/>
  <c r="B60" i="20"/>
  <c r="B72" i="20"/>
  <c r="B84" i="20"/>
  <c r="B14" i="20"/>
  <c r="B26" i="20"/>
  <c r="B38" i="20"/>
  <c r="B49" i="20"/>
  <c r="B61" i="20"/>
  <c r="B73" i="20"/>
  <c r="B85" i="20"/>
  <c r="B15" i="20"/>
  <c r="B27" i="20"/>
  <c r="B39" i="20"/>
  <c r="B50" i="20"/>
  <c r="B62" i="20"/>
  <c r="B74" i="20"/>
  <c r="B86" i="20"/>
  <c r="B6" i="20"/>
  <c r="B18" i="20"/>
  <c r="A18" i="5"/>
  <c r="A19" i="5"/>
  <c r="A20" i="5"/>
  <c r="A21" i="5"/>
  <c r="A22" i="5"/>
  <c r="A23" i="5"/>
  <c r="A24" i="5"/>
  <c r="A25" i="5"/>
  <c r="A26" i="5"/>
  <c r="A17" i="5"/>
  <c r="B30" i="20"/>
  <c r="B41" i="20"/>
  <c r="B53" i="20"/>
  <c r="B65" i="20"/>
  <c r="B77" i="20"/>
  <c r="B31" i="20"/>
  <c r="B42" i="20"/>
  <c r="B54" i="20"/>
  <c r="B66" i="20"/>
  <c r="B78" i="20"/>
  <c r="L10" i="30"/>
  <c r="M10" i="30"/>
  <c r="L14" i="30"/>
  <c r="L13" i="30"/>
  <c r="M13" i="30"/>
  <c r="L11" i="30"/>
  <c r="M11" i="30"/>
  <c r="L12" i="30"/>
  <c r="L9" i="30"/>
  <c r="L8" i="30"/>
  <c r="M8" i="30"/>
  <c r="L7" i="30"/>
  <c r="L6" i="30"/>
  <c r="M6" i="30"/>
  <c r="O6" i="30"/>
  <c r="L5" i="30"/>
  <c r="M5" i="30"/>
  <c r="O5" i="30"/>
  <c r="M12" i="30"/>
  <c r="O12" i="30"/>
  <c r="M7" i="30"/>
  <c r="O7" i="30"/>
  <c r="M9" i="30"/>
  <c r="O9" i="30"/>
  <c r="M14" i="30"/>
  <c r="O14" i="30"/>
  <c r="O11" i="30"/>
  <c r="O10" i="30"/>
  <c r="O8" i="30"/>
  <c r="O13" i="30"/>
  <c r="O15" i="30"/>
  <c r="M18" i="25"/>
  <c r="N3" i="26"/>
  <c r="M7" i="27"/>
  <c r="L17" i="2"/>
  <c r="G7" i="17"/>
  <c r="G2" i="18"/>
  <c r="D27" i="19"/>
  <c r="E27" i="19"/>
  <c r="F27" i="19"/>
  <c r="G27" i="19"/>
  <c r="H27" i="19"/>
  <c r="I27" i="19"/>
  <c r="J27" i="19"/>
  <c r="K27" i="19"/>
  <c r="L27" i="19"/>
  <c r="M27" i="19"/>
  <c r="N27" i="19"/>
  <c r="C27" i="19"/>
  <c r="O30" i="19"/>
  <c r="O31" i="19"/>
  <c r="O32" i="19"/>
  <c r="O33" i="19"/>
  <c r="O29" i="19"/>
  <c r="O16" i="19"/>
  <c r="O17" i="19"/>
  <c r="O18" i="19"/>
  <c r="O19" i="19"/>
  <c r="O20" i="19"/>
  <c r="O21" i="19"/>
  <c r="O22" i="19"/>
  <c r="O23" i="19"/>
  <c r="O24" i="19"/>
  <c r="O25" i="19"/>
  <c r="O26" i="19"/>
  <c r="O14" i="19"/>
  <c r="O8" i="19"/>
  <c r="O9" i="19"/>
  <c r="O7" i="19"/>
  <c r="O27" i="19"/>
  <c r="M17" i="25"/>
  <c r="L7" i="27"/>
  <c r="M16" i="25"/>
  <c r="K7" i="27"/>
  <c r="M15" i="25"/>
  <c r="M14" i="25"/>
  <c r="M13" i="25"/>
  <c r="H7" i="27"/>
  <c r="M12" i="25"/>
  <c r="G7" i="27"/>
  <c r="M11" i="25"/>
  <c r="F7" i="27"/>
  <c r="M10" i="25"/>
  <c r="E7" i="27"/>
  <c r="M8" i="25"/>
  <c r="C7" i="27"/>
  <c r="M7" i="25"/>
  <c r="B7" i="27"/>
  <c r="E10" i="29"/>
  <c r="E14" i="29"/>
  <c r="F16" i="29"/>
  <c r="G16" i="29"/>
  <c r="E16" i="29"/>
  <c r="E12" i="29"/>
  <c r="I7" i="27"/>
  <c r="J7" i="27"/>
  <c r="M3" i="26"/>
  <c r="L3" i="26"/>
  <c r="K3" i="26"/>
  <c r="J3" i="26"/>
  <c r="I3" i="26"/>
  <c r="H3" i="26"/>
  <c r="G3" i="26"/>
  <c r="F3" i="26"/>
  <c r="D3" i="26"/>
  <c r="C3" i="26"/>
  <c r="M9" i="25"/>
  <c r="D7" i="27"/>
  <c r="M6" i="25"/>
  <c r="A7" i="27"/>
  <c r="E3" i="26"/>
  <c r="B3" i="26"/>
  <c r="C6" i="20"/>
  <c r="C18" i="20"/>
  <c r="C7" i="20"/>
  <c r="C19" i="20"/>
  <c r="C8" i="20"/>
  <c r="C20" i="20"/>
  <c r="C32" i="20"/>
  <c r="C43" i="20"/>
  <c r="C55" i="20"/>
  <c r="C67" i="20"/>
  <c r="C79" i="20"/>
  <c r="C9" i="20"/>
  <c r="C21" i="20"/>
  <c r="C33" i="20"/>
  <c r="C44" i="20"/>
  <c r="C56" i="20"/>
  <c r="C68" i="20"/>
  <c r="C80" i="20"/>
  <c r="C10" i="20"/>
  <c r="C22" i="20"/>
  <c r="C34" i="20"/>
  <c r="C45" i="20"/>
  <c r="C57" i="20"/>
  <c r="C69" i="20"/>
  <c r="C81" i="20"/>
  <c r="C11" i="20"/>
  <c r="C23" i="20"/>
  <c r="C35" i="20"/>
  <c r="C46" i="20"/>
  <c r="C58" i="20"/>
  <c r="C70" i="20"/>
  <c r="C82" i="20"/>
  <c r="C12" i="20"/>
  <c r="C24" i="20"/>
  <c r="C36" i="20"/>
  <c r="C47" i="20"/>
  <c r="C59" i="20"/>
  <c r="C71" i="20"/>
  <c r="C83" i="20"/>
  <c r="C13" i="20"/>
  <c r="C25" i="20"/>
  <c r="C37" i="20"/>
  <c r="C48" i="20"/>
  <c r="C60" i="20"/>
  <c r="C72" i="20"/>
  <c r="C84" i="20"/>
  <c r="C14" i="20"/>
  <c r="C26" i="20"/>
  <c r="C38" i="20"/>
  <c r="C49" i="20"/>
  <c r="C61" i="20"/>
  <c r="C73" i="20"/>
  <c r="C85" i="20"/>
  <c r="C15" i="20"/>
  <c r="C27" i="20"/>
  <c r="C39" i="20"/>
  <c r="C50" i="20"/>
  <c r="C62" i="20"/>
  <c r="C74" i="20"/>
  <c r="C86" i="20"/>
  <c r="C31" i="20"/>
  <c r="C42" i="20"/>
  <c r="C54" i="20"/>
  <c r="C66" i="20"/>
  <c r="C78" i="20"/>
  <c r="C30" i="20"/>
  <c r="C41" i="20"/>
  <c r="C53" i="20"/>
  <c r="C65" i="20"/>
  <c r="C77" i="20"/>
  <c r="B28" i="19"/>
  <c r="B34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11" i="19"/>
  <c r="B35" i="19"/>
  <c r="C5" i="19"/>
  <c r="C11" i="19"/>
  <c r="L20" i="2"/>
  <c r="J2" i="18"/>
  <c r="L19" i="2"/>
  <c r="I2" i="18"/>
  <c r="L16" i="2"/>
  <c r="F2" i="18"/>
  <c r="L15" i="2"/>
  <c r="L14" i="2"/>
  <c r="D2" i="18"/>
  <c r="L13" i="2"/>
  <c r="C2" i="18"/>
  <c r="L12" i="2"/>
  <c r="B2" i="18"/>
  <c r="L11" i="2"/>
  <c r="A2" i="18"/>
  <c r="E7" i="17"/>
  <c r="E2" i="18"/>
  <c r="I7" i="17"/>
  <c r="B7" i="17"/>
  <c r="A7" i="17"/>
  <c r="F7" i="17"/>
  <c r="J7" i="17"/>
  <c r="D7" i="17"/>
  <c r="C7" i="17"/>
  <c r="O8" i="15"/>
  <c r="O9" i="15"/>
  <c r="O10" i="15"/>
  <c r="O11" i="15"/>
  <c r="O12" i="15"/>
  <c r="O13" i="15"/>
  <c r="O14" i="15"/>
  <c r="O15" i="15"/>
  <c r="O16" i="15"/>
  <c r="O17" i="15"/>
  <c r="O18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7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N31" i="15"/>
  <c r="L31" i="15"/>
  <c r="J31" i="15"/>
  <c r="H31" i="15"/>
  <c r="F31" i="15"/>
  <c r="N30" i="15"/>
  <c r="L30" i="15"/>
  <c r="J30" i="15"/>
  <c r="H30" i="15"/>
  <c r="F30" i="15"/>
  <c r="N29" i="15"/>
  <c r="L29" i="15"/>
  <c r="J29" i="15"/>
  <c r="H29" i="15"/>
  <c r="F29" i="15"/>
  <c r="N28" i="15"/>
  <c r="L28" i="15"/>
  <c r="J28" i="15"/>
  <c r="H28" i="15"/>
  <c r="F28" i="15"/>
  <c r="N27" i="15"/>
  <c r="L27" i="15"/>
  <c r="J27" i="15"/>
  <c r="H27" i="15"/>
  <c r="F27" i="15"/>
  <c r="N26" i="15"/>
  <c r="L26" i="15"/>
  <c r="J26" i="15"/>
  <c r="H26" i="15"/>
  <c r="F26" i="15"/>
  <c r="N25" i="15"/>
  <c r="L25" i="15"/>
  <c r="J25" i="15"/>
  <c r="H25" i="15"/>
  <c r="F25" i="15"/>
  <c r="N24" i="15"/>
  <c r="L24" i="15"/>
  <c r="J24" i="15"/>
  <c r="H24" i="15"/>
  <c r="F24" i="15"/>
  <c r="N23" i="15"/>
  <c r="L23" i="15"/>
  <c r="J23" i="15"/>
  <c r="H23" i="15"/>
  <c r="F23" i="15"/>
  <c r="N22" i="15"/>
  <c r="L22" i="15"/>
  <c r="J22" i="15"/>
  <c r="H22" i="15"/>
  <c r="F22" i="15"/>
  <c r="N21" i="15"/>
  <c r="L21" i="15"/>
  <c r="J21" i="15"/>
  <c r="H21" i="15"/>
  <c r="F21" i="15"/>
  <c r="N20" i="15"/>
  <c r="L20" i="15"/>
  <c r="J20" i="15"/>
  <c r="H20" i="15"/>
  <c r="F20" i="15"/>
  <c r="N18" i="15"/>
  <c r="L18" i="15"/>
  <c r="J18" i="15"/>
  <c r="H18" i="15"/>
  <c r="F18" i="15"/>
  <c r="D18" i="15"/>
  <c r="N17" i="15"/>
  <c r="L17" i="15"/>
  <c r="J17" i="15"/>
  <c r="H17" i="15"/>
  <c r="F17" i="15"/>
  <c r="D17" i="15"/>
  <c r="N16" i="15"/>
  <c r="L16" i="15"/>
  <c r="J16" i="15"/>
  <c r="H16" i="15"/>
  <c r="F16" i="15"/>
  <c r="D16" i="15"/>
  <c r="N15" i="15"/>
  <c r="L15" i="15"/>
  <c r="J15" i="15"/>
  <c r="H15" i="15"/>
  <c r="F15" i="15"/>
  <c r="D15" i="15"/>
  <c r="N14" i="15"/>
  <c r="L14" i="15"/>
  <c r="J14" i="15"/>
  <c r="H14" i="15"/>
  <c r="F14" i="15"/>
  <c r="D14" i="15"/>
  <c r="N13" i="15"/>
  <c r="L13" i="15"/>
  <c r="J13" i="15"/>
  <c r="H13" i="15"/>
  <c r="F13" i="15"/>
  <c r="D13" i="15"/>
  <c r="N12" i="15"/>
  <c r="L12" i="15"/>
  <c r="J12" i="15"/>
  <c r="H12" i="15"/>
  <c r="F12" i="15"/>
  <c r="D12" i="15"/>
  <c r="N11" i="15"/>
  <c r="L11" i="15"/>
  <c r="J11" i="15"/>
  <c r="H11" i="15"/>
  <c r="F11" i="15"/>
  <c r="D11" i="15"/>
  <c r="N10" i="15"/>
  <c r="L10" i="15"/>
  <c r="J10" i="15"/>
  <c r="H10" i="15"/>
  <c r="F10" i="15"/>
  <c r="D10" i="15"/>
  <c r="N9" i="15"/>
  <c r="L9" i="15"/>
  <c r="J9" i="15"/>
  <c r="H9" i="15"/>
  <c r="F9" i="15"/>
  <c r="D9" i="15"/>
  <c r="N8" i="15"/>
  <c r="L8" i="15"/>
  <c r="J8" i="15"/>
  <c r="H8" i="15"/>
  <c r="F8" i="15"/>
  <c r="D8" i="15"/>
  <c r="N7" i="15"/>
  <c r="L7" i="15"/>
  <c r="J7" i="15"/>
  <c r="H7" i="15"/>
  <c r="F7" i="15"/>
  <c r="D7" i="15"/>
  <c r="E10" i="28"/>
  <c r="E14" i="28"/>
  <c r="E16" i="28"/>
  <c r="E12" i="28"/>
  <c r="B25" i="5"/>
  <c r="B26" i="5"/>
  <c r="B23" i="5"/>
  <c r="B24" i="5"/>
  <c r="B22" i="5"/>
  <c r="B18" i="5"/>
  <c r="B19" i="5"/>
  <c r="B20" i="5"/>
  <c r="B21" i="5"/>
  <c r="B17" i="5"/>
  <c r="P26" i="5"/>
  <c r="Q26" i="5"/>
  <c r="P18" i="5"/>
  <c r="Q18" i="5"/>
  <c r="P19" i="5"/>
  <c r="Q19" i="5"/>
  <c r="P20" i="5"/>
  <c r="Q20" i="5"/>
  <c r="P21" i="5"/>
  <c r="Q21" i="5"/>
  <c r="P22" i="5"/>
  <c r="Q22" i="5"/>
  <c r="P23" i="5"/>
  <c r="Q23" i="5"/>
  <c r="P24" i="5"/>
  <c r="Q24" i="5"/>
  <c r="P25" i="5"/>
  <c r="Q25" i="5"/>
  <c r="P17" i="5"/>
  <c r="Q17" i="5"/>
  <c r="L5" i="5"/>
  <c r="L6" i="5"/>
  <c r="L7" i="5"/>
  <c r="L8" i="5"/>
  <c r="N8" i="5"/>
  <c r="L9" i="5"/>
  <c r="L10" i="5"/>
  <c r="L11" i="5"/>
  <c r="L12" i="5"/>
  <c r="L13" i="5"/>
  <c r="L4" i="5"/>
  <c r="O4" i="5"/>
  <c r="S4" i="5"/>
  <c r="W4" i="5"/>
  <c r="P4" i="5"/>
  <c r="T4" i="5"/>
  <c r="X4" i="5"/>
  <c r="Q4" i="5"/>
  <c r="U4" i="5"/>
  <c r="M4" i="5"/>
  <c r="N4" i="5"/>
  <c r="R4" i="5"/>
  <c r="V4" i="5"/>
  <c r="P10" i="5"/>
  <c r="T10" i="5"/>
  <c r="X10" i="5"/>
  <c r="Q10" i="5"/>
  <c r="U10" i="5"/>
  <c r="N10" i="5"/>
  <c r="R10" i="5"/>
  <c r="V10" i="5"/>
  <c r="M10" i="5"/>
  <c r="O10" i="5"/>
  <c r="S10" i="5"/>
  <c r="W10" i="5"/>
  <c r="N6" i="5"/>
  <c r="R6" i="5"/>
  <c r="V6" i="5"/>
  <c r="O6" i="5"/>
  <c r="S6" i="5"/>
  <c r="W6" i="5"/>
  <c r="M6" i="5"/>
  <c r="P6" i="5"/>
  <c r="T6" i="5"/>
  <c r="X6" i="5"/>
  <c r="Q6" i="5"/>
  <c r="U6" i="5"/>
  <c r="Q9" i="5"/>
  <c r="U9" i="5"/>
  <c r="N9" i="5"/>
  <c r="R9" i="5"/>
  <c r="V9" i="5"/>
  <c r="O9" i="5"/>
  <c r="S9" i="5"/>
  <c r="W9" i="5"/>
  <c r="P9" i="5"/>
  <c r="T9" i="5"/>
  <c r="X9" i="5"/>
  <c r="M9" i="5"/>
  <c r="P5" i="5"/>
  <c r="T5" i="5"/>
  <c r="X5" i="5"/>
  <c r="Q5" i="5"/>
  <c r="U5" i="5"/>
  <c r="N5" i="5"/>
  <c r="R5" i="5"/>
  <c r="V5" i="5"/>
  <c r="M5" i="5"/>
  <c r="O5" i="5"/>
  <c r="S5" i="5"/>
  <c r="W5" i="5"/>
  <c r="O11" i="5"/>
  <c r="S11" i="5"/>
  <c r="W11" i="5"/>
  <c r="P11" i="5"/>
  <c r="T11" i="5"/>
  <c r="X11" i="5"/>
  <c r="M11" i="5"/>
  <c r="Q11" i="5"/>
  <c r="U11" i="5"/>
  <c r="N11" i="5"/>
  <c r="R11" i="5"/>
  <c r="V11" i="5"/>
  <c r="N7" i="5"/>
  <c r="R7" i="5"/>
  <c r="V7" i="5"/>
  <c r="M7" i="5"/>
  <c r="O7" i="5"/>
  <c r="S7" i="5"/>
  <c r="W7" i="5"/>
  <c r="P7" i="5"/>
  <c r="T7" i="5"/>
  <c r="X7" i="5"/>
  <c r="Q7" i="5"/>
  <c r="U7" i="5"/>
  <c r="N12" i="5"/>
  <c r="R12" i="5"/>
  <c r="V12" i="5"/>
  <c r="O12" i="5"/>
  <c r="S12" i="5"/>
  <c r="W12" i="5"/>
  <c r="M12" i="5"/>
  <c r="P12" i="5"/>
  <c r="T12" i="5"/>
  <c r="X12" i="5"/>
  <c r="Q12" i="5"/>
  <c r="U12" i="5"/>
  <c r="N13" i="5"/>
  <c r="R13" i="5"/>
  <c r="V13" i="5"/>
  <c r="M13" i="5"/>
  <c r="O13" i="5"/>
  <c r="S13" i="5"/>
  <c r="W13" i="5"/>
  <c r="P13" i="5"/>
  <c r="T13" i="5"/>
  <c r="X13" i="5"/>
  <c r="Q13" i="5"/>
  <c r="U13" i="5"/>
  <c r="O8" i="5"/>
  <c r="S8" i="5"/>
  <c r="W8" i="5"/>
  <c r="M8" i="5"/>
  <c r="T8" i="5"/>
  <c r="Q8" i="5"/>
  <c r="U8" i="5"/>
  <c r="R8" i="5"/>
  <c r="V8" i="5"/>
  <c r="P8" i="5"/>
  <c r="X8" i="5"/>
  <c r="Y11" i="5"/>
  <c r="L15" i="19"/>
  <c r="L28" i="19"/>
  <c r="L34" i="19"/>
  <c r="D15" i="19"/>
  <c r="D28" i="19"/>
  <c r="D34" i="19"/>
  <c r="K15" i="19"/>
  <c r="K28" i="19"/>
  <c r="K34" i="19"/>
  <c r="N15" i="19"/>
  <c r="N28" i="19"/>
  <c r="N34" i="19"/>
  <c r="F15" i="19"/>
  <c r="F28" i="19"/>
  <c r="F34" i="19"/>
  <c r="I15" i="19"/>
  <c r="I28" i="19"/>
  <c r="I34" i="19"/>
  <c r="H15" i="19"/>
  <c r="H28" i="19"/>
  <c r="H34" i="19"/>
  <c r="C15" i="19"/>
  <c r="G15" i="19"/>
  <c r="G28" i="19"/>
  <c r="G34" i="19"/>
  <c r="J15" i="19"/>
  <c r="J28" i="19"/>
  <c r="J34" i="19"/>
  <c r="M15" i="19"/>
  <c r="M28" i="19"/>
  <c r="M34" i="19"/>
  <c r="E15" i="19"/>
  <c r="E28" i="19"/>
  <c r="E34" i="19"/>
  <c r="Y5" i="5"/>
  <c r="Y13" i="5"/>
  <c r="Y10" i="5"/>
  <c r="Y7" i="5"/>
  <c r="Y4" i="5"/>
  <c r="Y12" i="5"/>
  <c r="Y9" i="5"/>
  <c r="Y8" i="5"/>
  <c r="Y6" i="5"/>
  <c r="A1" i="1"/>
  <c r="O15" i="19"/>
  <c r="O28" i="19"/>
  <c r="O34" i="19"/>
  <c r="C28" i="19"/>
  <c r="C34" i="19"/>
  <c r="C35" i="19"/>
  <c r="D5" i="19"/>
  <c r="D11" i="19"/>
  <c r="D35" i="19"/>
  <c r="E5" i="19"/>
  <c r="E11" i="19"/>
  <c r="E35" i="19"/>
  <c r="F5" i="19"/>
  <c r="F11" i="19"/>
  <c r="F35" i="19"/>
  <c r="G5" i="19"/>
  <c r="G11" i="19"/>
  <c r="G35" i="19"/>
  <c r="H5" i="19"/>
  <c r="H11" i="19"/>
  <c r="H35" i="19"/>
  <c r="I5" i="19"/>
  <c r="I11" i="19"/>
  <c r="I35" i="19"/>
  <c r="J5" i="19"/>
  <c r="J11" i="19"/>
  <c r="J35" i="19"/>
  <c r="K5" i="19"/>
  <c r="K11" i="19"/>
  <c r="K35" i="19"/>
  <c r="L5" i="19"/>
  <c r="L11" i="19"/>
  <c r="L35" i="19"/>
  <c r="M5" i="19"/>
  <c r="M11" i="19"/>
  <c r="M35" i="19"/>
  <c r="N5" i="19"/>
  <c r="O5" i="19"/>
  <c r="N11" i="19"/>
  <c r="N35" i="19"/>
  <c r="O11" i="19"/>
  <c r="O35" i="19"/>
</calcChain>
</file>

<file path=xl/comments1.xml><?xml version="1.0" encoding="utf-8"?>
<comments xmlns="http://schemas.openxmlformats.org/spreadsheetml/2006/main">
  <authors>
    <author>Microsoft</author>
  </authors>
  <commentList>
    <comment ref="B10" authorId="0">
      <text>
        <r>
          <rPr>
            <b/>
            <sz val="8"/>
            <color indexed="81"/>
            <rFont val="Tahoma"/>
          </rPr>
          <t>Totals are calculated automatically.</t>
        </r>
      </text>
    </comment>
  </commentList>
</comments>
</file>

<file path=xl/comments2.xml><?xml version="1.0" encoding="utf-8"?>
<comments xmlns="http://schemas.openxmlformats.org/spreadsheetml/2006/main">
  <authors>
    <author>Gagan</author>
  </authors>
  <commentList>
    <comment ref="A4" authorId="0">
      <text>
        <r>
          <rPr>
            <b/>
            <sz val="9"/>
            <color indexed="81"/>
            <rFont val="Tahoma"/>
            <charset val="1"/>
          </rPr>
          <t>Enter Staff Surname Here</t>
        </r>
      </text>
    </comment>
    <comment ref="B4" authorId="0">
      <text>
        <r>
          <rPr>
            <b/>
            <sz val="9"/>
            <color indexed="81"/>
            <rFont val="Tahoma"/>
            <charset val="1"/>
          </rPr>
          <t>Enter the Staff Forename</t>
        </r>
      </text>
    </comment>
  </commentList>
</comments>
</file>

<file path=xl/comments3.xml><?xml version="1.0" encoding="utf-8"?>
<comments xmlns="http://schemas.openxmlformats.org/spreadsheetml/2006/main">
  <authors>
    <author>Bachus Kamaldeep (2006)</author>
  </authors>
  <commentList>
    <comment ref="B6" authorId="0">
      <text>
        <r>
          <rPr>
            <b/>
            <sz val="8"/>
            <color indexed="81"/>
            <rFont val="Tahoma"/>
            <charset val="1"/>
          </rPr>
          <t>The names will be entered on the "Saff Payment" Sheet</t>
        </r>
      </text>
    </comment>
  </commentList>
</comments>
</file>

<file path=xl/sharedStrings.xml><?xml version="1.0" encoding="utf-8"?>
<sst xmlns="http://schemas.openxmlformats.org/spreadsheetml/2006/main" count="466" uniqueCount="231">
  <si>
    <t>WELCOME</t>
  </si>
  <si>
    <t>TO</t>
  </si>
  <si>
    <t>JOE'S DINER</t>
  </si>
  <si>
    <t>Booking System</t>
  </si>
  <si>
    <t>E-Mail</t>
  </si>
  <si>
    <t>STARTER</t>
  </si>
  <si>
    <t>Price</t>
  </si>
  <si>
    <t>Drinks</t>
  </si>
  <si>
    <t>Total</t>
  </si>
  <si>
    <t xml:space="preserve"> </t>
  </si>
  <si>
    <t>Per Hour (£)</t>
  </si>
  <si>
    <t>Monday</t>
  </si>
  <si>
    <t>Tuesday</t>
  </si>
  <si>
    <t>Wednesday</t>
  </si>
  <si>
    <t>Thursday</t>
  </si>
  <si>
    <t>Friday</t>
  </si>
  <si>
    <t xml:space="preserve">Hours per Day </t>
  </si>
  <si>
    <t>Year</t>
  </si>
  <si>
    <t>Waiter</t>
  </si>
  <si>
    <t>Cleaner</t>
  </si>
  <si>
    <t>Saturday</t>
  </si>
  <si>
    <t>Sunday</t>
  </si>
  <si>
    <t>Week</t>
  </si>
  <si>
    <t>Job</t>
  </si>
  <si>
    <t>May</t>
  </si>
  <si>
    <t>July</t>
  </si>
  <si>
    <t>Aug</t>
  </si>
  <si>
    <t>Oct</t>
  </si>
  <si>
    <t>Nov</t>
  </si>
  <si>
    <t>Dec</t>
  </si>
  <si>
    <t>Jan</t>
  </si>
  <si>
    <t>Feb</t>
  </si>
  <si>
    <t>Entitlement</t>
  </si>
  <si>
    <t>Days Taken</t>
  </si>
  <si>
    <t>Days Left</t>
  </si>
  <si>
    <t>March</t>
  </si>
  <si>
    <t xml:space="preserve">April </t>
  </si>
  <si>
    <t>Jun</t>
  </si>
  <si>
    <t>Sep</t>
  </si>
  <si>
    <t>QTY</t>
  </si>
  <si>
    <t>Main Course</t>
  </si>
  <si>
    <t>Dessert</t>
  </si>
  <si>
    <t>Title*</t>
  </si>
  <si>
    <t>First Name*</t>
  </si>
  <si>
    <t>Last Name*</t>
  </si>
  <si>
    <t>Phone Number*</t>
  </si>
  <si>
    <t>Address*</t>
  </si>
  <si>
    <t>Post Code*</t>
  </si>
  <si>
    <t>Item</t>
  </si>
  <si>
    <t>April</t>
  </si>
  <si>
    <t>June</t>
  </si>
  <si>
    <t>Sept</t>
  </si>
  <si>
    <t>Plates Small</t>
  </si>
  <si>
    <t>Plates Big</t>
  </si>
  <si>
    <t>Glass</t>
  </si>
  <si>
    <t>Mugs</t>
  </si>
  <si>
    <t>Spoon Big</t>
  </si>
  <si>
    <t>Spoon Small</t>
  </si>
  <si>
    <t>Fork</t>
  </si>
  <si>
    <t>Knife</t>
  </si>
  <si>
    <t>Cutlery Count</t>
  </si>
  <si>
    <t>How many you need to buy</t>
  </si>
  <si>
    <t>Start</t>
  </si>
  <si>
    <t>Different</t>
  </si>
  <si>
    <t xml:space="preserve">Title </t>
  </si>
  <si>
    <t>Call Time</t>
  </si>
  <si>
    <t>Mr</t>
  </si>
  <si>
    <t>Mrs</t>
  </si>
  <si>
    <t>Miss</t>
  </si>
  <si>
    <t>Evening</t>
  </si>
  <si>
    <t>Daytime</t>
  </si>
  <si>
    <t>LunchTime</t>
  </si>
  <si>
    <t>Outside services</t>
  </si>
  <si>
    <t>Advertising</t>
  </si>
  <si>
    <t>Rent</t>
  </si>
  <si>
    <t>Telephone</t>
  </si>
  <si>
    <t>Utilities</t>
  </si>
  <si>
    <t>Insurance</t>
  </si>
  <si>
    <t>Taxes (real estate, etc.)</t>
  </si>
  <si>
    <t>Fiscal Year Begins:</t>
  </si>
  <si>
    <t>Pre-Startup EST</t>
  </si>
  <si>
    <t>Total Item EST</t>
  </si>
  <si>
    <t>CASH RECEIPTS</t>
  </si>
  <si>
    <t>Cash Sales</t>
  </si>
  <si>
    <t>Collections fm CR accounts</t>
  </si>
  <si>
    <t>Loan/ other cash inj.</t>
  </si>
  <si>
    <t>TOTAL CASH RECEIPTS</t>
  </si>
  <si>
    <t>CASH PAID OUT</t>
  </si>
  <si>
    <t>Purchases (merchandise)</t>
  </si>
  <si>
    <t>Gross wages (exact withdrawal)</t>
  </si>
  <si>
    <t>Payroll expenses (taxes, etc.)</t>
  </si>
  <si>
    <t>Supplies (office &amp; oper.)</t>
  </si>
  <si>
    <t>Repairs &amp; maintenance</t>
  </si>
  <si>
    <t>Car, delivery &amp; travel</t>
  </si>
  <si>
    <t>Accounting &amp; legal</t>
  </si>
  <si>
    <t>SUBTOTAL</t>
  </si>
  <si>
    <t>Loan principal payment</t>
  </si>
  <si>
    <t>Capital purchase (specify)</t>
  </si>
  <si>
    <t>Other startup costs</t>
  </si>
  <si>
    <t>Reserve and/or Escrow</t>
  </si>
  <si>
    <t>Owners' Withdrawal</t>
  </si>
  <si>
    <t>TOTAL CASH PAID OUT</t>
  </si>
  <si>
    <t>JOE's DINER</t>
  </si>
  <si>
    <t>Shift Schedule</t>
  </si>
  <si>
    <t xml:space="preserve">For the Week of: </t>
  </si>
  <si>
    <t xml:space="preserve">Department Name: </t>
  </si>
  <si>
    <t>Off</t>
  </si>
  <si>
    <t>Sick</t>
  </si>
  <si>
    <t xml:space="preserve">Cleaner </t>
  </si>
  <si>
    <t>Chef</t>
  </si>
  <si>
    <t>Cashier</t>
  </si>
  <si>
    <t>Waiter/Cleaner</t>
  </si>
  <si>
    <t>Post Code</t>
  </si>
  <si>
    <t>Address</t>
  </si>
  <si>
    <t>Phone Number</t>
  </si>
  <si>
    <t>First Name</t>
  </si>
  <si>
    <t>Title</t>
  </si>
  <si>
    <t>Papadoms</t>
  </si>
  <si>
    <t>Salad</t>
  </si>
  <si>
    <t>Crips</t>
  </si>
  <si>
    <t>Beef soup</t>
  </si>
  <si>
    <t>Chicken soup</t>
  </si>
  <si>
    <t>Noodle soup</t>
  </si>
  <si>
    <t>Veggie Samosa</t>
  </si>
  <si>
    <t>Stuffed Mushroom bread</t>
  </si>
  <si>
    <t>Chicken kebab with salad</t>
  </si>
  <si>
    <t>Chicken Wings</t>
  </si>
  <si>
    <t>Sweet and sour chicken</t>
  </si>
  <si>
    <t>English Dinner</t>
  </si>
  <si>
    <t>Buttermilk fried chicken</t>
  </si>
  <si>
    <t>Chicken fajits</t>
  </si>
  <si>
    <t>Jacket potoato with cheese</t>
  </si>
  <si>
    <t>Veggie sausage roll</t>
  </si>
  <si>
    <t>King prawns</t>
  </si>
  <si>
    <t>Crab sticks</t>
  </si>
  <si>
    <t>Mixed seafood</t>
  </si>
  <si>
    <t>Fish and chips</t>
  </si>
  <si>
    <t>Coffee</t>
  </si>
  <si>
    <t>Fanta</t>
  </si>
  <si>
    <t>J2O</t>
  </si>
  <si>
    <t>Pepsi</t>
  </si>
  <si>
    <t>Sprite</t>
  </si>
  <si>
    <t>Tango</t>
  </si>
  <si>
    <t>Tea</t>
  </si>
  <si>
    <t>Plain Rice</t>
  </si>
  <si>
    <t>Egg fried rice</t>
  </si>
  <si>
    <t>House Number</t>
  </si>
  <si>
    <t>Surname</t>
  </si>
  <si>
    <t>Forenames</t>
  </si>
  <si>
    <t>Sex</t>
  </si>
  <si>
    <t>Date of birth</t>
  </si>
  <si>
    <t>Day</t>
  </si>
  <si>
    <t>Month</t>
  </si>
  <si>
    <t>Moblie</t>
  </si>
  <si>
    <t>Date of Birth</t>
  </si>
  <si>
    <t>Male</t>
  </si>
  <si>
    <t>Female</t>
  </si>
  <si>
    <t>New Staff Detials</t>
  </si>
  <si>
    <r>
      <t>Cash on Hand</t>
    </r>
    <r>
      <rPr>
        <sz val="10"/>
        <rFont val="Calibri"/>
        <family val="2"/>
        <scheme val="minor"/>
      </rPr>
      <t xml:space="preserve"> (beginning of month)</t>
    </r>
  </si>
  <si>
    <r>
      <t>Total Cash Available</t>
    </r>
    <r>
      <rPr>
        <sz val="10"/>
        <rFont val="Calibri"/>
        <family val="2"/>
        <scheme val="minor"/>
      </rPr>
      <t xml:space="preserve"> (before cash out)</t>
    </r>
  </si>
  <si>
    <r>
      <t xml:space="preserve">Cash Position </t>
    </r>
    <r>
      <rPr>
        <sz val="10"/>
        <rFont val="Calibri"/>
        <family val="2"/>
        <scheme val="minor"/>
      </rPr>
      <t>(end of month)</t>
    </r>
  </si>
  <si>
    <t>Timing</t>
  </si>
  <si>
    <t>How many people</t>
  </si>
  <si>
    <t>How Many people</t>
  </si>
  <si>
    <t>How many People</t>
  </si>
  <si>
    <t>How Many People</t>
  </si>
  <si>
    <t>E-mail</t>
  </si>
  <si>
    <t>Time of Meal</t>
  </si>
  <si>
    <t>Table Number</t>
  </si>
  <si>
    <t xml:space="preserve">Staff Payment </t>
  </si>
  <si>
    <t>N/A</t>
  </si>
  <si>
    <t>Job Role</t>
  </si>
  <si>
    <t xml:space="preserve">Job Role </t>
  </si>
  <si>
    <t>Staff Surname</t>
  </si>
  <si>
    <t>Forename</t>
  </si>
  <si>
    <t>Starter</t>
  </si>
  <si>
    <t>Drink</t>
  </si>
  <si>
    <t>Apple Pie</t>
  </si>
  <si>
    <t>Blueberry Pie</t>
  </si>
  <si>
    <t>Cookie dough Ice Cream</t>
  </si>
  <si>
    <t>Lemon meringue Pie</t>
  </si>
  <si>
    <t>Fudge Cake</t>
  </si>
  <si>
    <t>Strawberry Cake</t>
  </si>
  <si>
    <t>Strawberry Ice Cream</t>
  </si>
  <si>
    <t>Vanilla Ice Cream</t>
  </si>
  <si>
    <t>Water</t>
  </si>
  <si>
    <t>Veegie Soup</t>
  </si>
  <si>
    <t>Veegie burger</t>
  </si>
  <si>
    <t>-</t>
  </si>
  <si>
    <t xml:space="preserve">Staff Data </t>
  </si>
  <si>
    <t>Order</t>
  </si>
  <si>
    <t>Payment</t>
  </si>
  <si>
    <t xml:space="preserve">Customer Search 
</t>
  </si>
  <si>
    <t>Staff Search</t>
  </si>
  <si>
    <t>Staff News</t>
  </si>
  <si>
    <t>Staff NEWS</t>
  </si>
  <si>
    <t xml:space="preserve">Table </t>
  </si>
  <si>
    <t>Staff Details</t>
  </si>
  <si>
    <t>City/Town</t>
  </si>
  <si>
    <t>City/town</t>
  </si>
  <si>
    <t>Halls</t>
  </si>
  <si>
    <t>Mark</t>
  </si>
  <si>
    <t>23 Park Road</t>
  </si>
  <si>
    <t>Table</t>
  </si>
  <si>
    <t>Singh</t>
  </si>
  <si>
    <t>Kam</t>
  </si>
  <si>
    <t>Saleem</t>
  </si>
  <si>
    <t>Nada</t>
  </si>
  <si>
    <t>56 Linton Town</t>
  </si>
  <si>
    <t>London, Romford</t>
  </si>
  <si>
    <t>R4 2WE</t>
  </si>
  <si>
    <t>11 Ventonor Street</t>
  </si>
  <si>
    <t>London, Barking</t>
  </si>
  <si>
    <t>IG11 9NH</t>
  </si>
  <si>
    <t>London, Ilford</t>
  </si>
  <si>
    <t>IG1 0LK</t>
  </si>
  <si>
    <t>Last Name</t>
  </si>
  <si>
    <t>Stacy</t>
  </si>
  <si>
    <t>Backer</t>
  </si>
  <si>
    <t>11 Stain Road</t>
  </si>
  <si>
    <t>IG1 9lk</t>
  </si>
  <si>
    <t>Lunchtime</t>
  </si>
  <si>
    <t>4</t>
  </si>
  <si>
    <t>Landfer</t>
  </si>
  <si>
    <t>232 Finch Road</t>
  </si>
  <si>
    <t>R1 575</t>
  </si>
  <si>
    <t>2</t>
  </si>
  <si>
    <t>Mobile Number</t>
  </si>
  <si>
    <t>Mobile</t>
  </si>
  <si>
    <t>Preferred time to came</t>
  </si>
  <si>
    <t>Hello and welcome to Joes Diner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</si>
</sst>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400]h:mm:ss\ AM/PM"/>
    <numFmt numFmtId="165" formatCode="&quot;£&quot;#,##0.00"/>
    <numFmt numFmtId="166" formatCode="0_ ;[Red]\-0\ "/>
    <numFmt numFmtId="167" formatCode="mmmm"/>
    <numFmt numFmtId="168" formatCode="0##\-####\-####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48"/>
      <color rgb="FFFF0000"/>
      <name val="Freestyle Script"/>
      <family val="4"/>
    </font>
    <font>
      <sz val="48"/>
      <color theme="1"/>
      <name val="Freestyle Script"/>
      <family val="4"/>
    </font>
    <font>
      <sz val="36"/>
      <color theme="1"/>
      <name val="Freestyle Script"/>
      <family val="4"/>
    </font>
    <font>
      <sz val="16"/>
      <color theme="1"/>
      <name val="Freestyle Script"/>
      <family val="4"/>
    </font>
    <font>
      <sz val="12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b/>
      <u/>
      <sz val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8"/>
      <color indexed="81"/>
      <name val="Tahoma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8"/>
      <color theme="1"/>
      <name val="Freestyle Script"/>
      <family val="4"/>
    </font>
    <font>
      <sz val="10"/>
      <name val="Calibri"/>
      <family val="2"/>
      <charset val="16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"/>
      <family val="2"/>
    </font>
    <font>
      <sz val="48"/>
      <color theme="5"/>
      <name val="Freestyle Script"/>
      <family val="4"/>
    </font>
    <font>
      <sz val="72"/>
      <color theme="9" tint="0.39997558519241921"/>
      <name val="Freestyle Script"/>
      <family val="4"/>
    </font>
    <font>
      <sz val="11"/>
      <color theme="5"/>
      <name val="Calibri"/>
      <family val="2"/>
      <scheme val="minor"/>
    </font>
    <font>
      <b/>
      <sz val="9"/>
      <color indexed="81"/>
      <name val="Tahoma"/>
      <charset val="1"/>
    </font>
    <font>
      <b/>
      <sz val="8"/>
      <color indexed="81"/>
      <name val="Tahoma"/>
      <charset val="1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B6525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indexed="64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indexed="64"/>
      </top>
      <bottom style="thin">
        <color theme="5"/>
      </bottom>
      <diagonal/>
    </border>
    <border>
      <left style="thin">
        <color theme="5"/>
      </left>
      <right style="thin">
        <color indexed="64"/>
      </right>
      <top style="thin">
        <color indexed="64"/>
      </top>
      <bottom style="thin">
        <color theme="5"/>
      </bottom>
      <diagonal/>
    </border>
    <border>
      <left style="thin">
        <color indexed="64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theme="5"/>
      </right>
      <top style="thin">
        <color theme="5"/>
      </top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indexed="64"/>
      </bottom>
      <diagonal/>
    </border>
    <border>
      <left style="thin">
        <color theme="5"/>
      </left>
      <right style="thin">
        <color indexed="64"/>
      </right>
      <top style="thin">
        <color theme="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</borders>
  <cellStyleXfs count="3">
    <xf numFmtId="0" fontId="0" fillId="0" borderId="0"/>
    <xf numFmtId="0" fontId="8" fillId="0" borderId="0"/>
    <xf numFmtId="0" fontId="24" fillId="0" borderId="0" applyNumberFormat="0" applyFill="0" applyBorder="0" applyAlignment="0" applyProtection="0"/>
  </cellStyleXfs>
  <cellXfs count="292">
    <xf numFmtId="0" fontId="0" fillId="0" borderId="0" xfId="0"/>
    <xf numFmtId="0" fontId="0" fillId="5" borderId="0" xfId="0" applyFill="1" applyBorder="1"/>
    <xf numFmtId="0" fontId="0" fillId="5" borderId="0" xfId="0" applyFill="1"/>
    <xf numFmtId="0" fontId="0" fillId="5" borderId="0" xfId="0" applyFill="1" applyBorder="1" applyAlignment="1">
      <alignment horizontal="left"/>
    </xf>
    <xf numFmtId="0" fontId="0" fillId="5" borderId="25" xfId="0" applyFill="1" applyBorder="1"/>
    <xf numFmtId="0" fontId="0" fillId="5" borderId="26" xfId="0" applyFont="1" applyFill="1" applyBorder="1" applyAlignment="1">
      <alignment horizontal="right"/>
    </xf>
    <xf numFmtId="0" fontId="0" fillId="5" borderId="26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18" fillId="5" borderId="0" xfId="0" applyFont="1" applyFill="1" applyBorder="1" applyAlignment="1">
      <alignment vertical="center"/>
    </xf>
    <xf numFmtId="0" fontId="0" fillId="5" borderId="29" xfId="0" applyFill="1" applyBorder="1"/>
    <xf numFmtId="0" fontId="0" fillId="5" borderId="38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1" fillId="5" borderId="18" xfId="0" applyFont="1" applyFill="1" applyBorder="1"/>
    <xf numFmtId="0" fontId="1" fillId="5" borderId="30" xfId="0" applyFont="1" applyFill="1" applyBorder="1"/>
    <xf numFmtId="0" fontId="1" fillId="5" borderId="0" xfId="0" applyFont="1" applyFill="1"/>
    <xf numFmtId="0" fontId="0" fillId="5" borderId="18" xfId="0" applyFill="1" applyBorder="1"/>
    <xf numFmtId="0" fontId="0" fillId="5" borderId="30" xfId="0" applyFill="1" applyBorder="1"/>
    <xf numFmtId="0" fontId="24" fillId="5" borderId="18" xfId="2" applyFill="1" applyBorder="1"/>
    <xf numFmtId="0" fontId="0" fillId="5" borderId="0" xfId="0" applyFill="1" applyAlignment="1"/>
    <xf numFmtId="165" fontId="0" fillId="5" borderId="0" xfId="0" applyNumberFormat="1" applyFill="1"/>
    <xf numFmtId="0" fontId="1" fillId="5" borderId="1" xfId="0" applyFont="1" applyFill="1" applyBorder="1"/>
    <xf numFmtId="0" fontId="7" fillId="5" borderId="0" xfId="0" applyFont="1" applyFill="1"/>
    <xf numFmtId="0" fontId="7" fillId="5" borderId="0" xfId="0" applyFont="1" applyFill="1" applyBorder="1"/>
    <xf numFmtId="165" fontId="7" fillId="5" borderId="0" xfId="0" applyNumberFormat="1" applyFont="1" applyFill="1" applyBorder="1"/>
    <xf numFmtId="0" fontId="9" fillId="5" borderId="1" xfId="1" applyFont="1" applyFill="1" applyBorder="1" applyAlignment="1">
      <alignment horizontal="center"/>
    </xf>
    <xf numFmtId="165" fontId="10" fillId="5" borderId="0" xfId="0" applyNumberFormat="1" applyFont="1" applyFill="1" applyBorder="1"/>
    <xf numFmtId="165" fontId="10" fillId="5" borderId="5" xfId="0" applyNumberFormat="1" applyFont="1" applyFill="1" applyBorder="1"/>
    <xf numFmtId="0" fontId="9" fillId="5" borderId="1" xfId="1" applyFont="1" applyFill="1" applyBorder="1"/>
    <xf numFmtId="0" fontId="9" fillId="5" borderId="0" xfId="1" applyFont="1" applyFill="1" applyBorder="1" applyAlignment="1">
      <alignment horizontal="center"/>
    </xf>
    <xf numFmtId="0" fontId="9" fillId="5" borderId="0" xfId="1" applyFont="1" applyFill="1" applyBorder="1"/>
    <xf numFmtId="0" fontId="7" fillId="5" borderId="1" xfId="0" applyFont="1" applyFill="1" applyBorder="1"/>
    <xf numFmtId="0" fontId="17" fillId="5" borderId="18" xfId="0" applyFont="1" applyFill="1" applyBorder="1" applyAlignment="1"/>
    <xf numFmtId="0" fontId="16" fillId="5" borderId="18" xfId="0" applyFont="1" applyFill="1" applyBorder="1"/>
    <xf numFmtId="0" fontId="16" fillId="5" borderId="18" xfId="0" applyFont="1" applyFill="1" applyBorder="1" applyAlignment="1">
      <alignment horizontal="right"/>
    </xf>
    <xf numFmtId="0" fontId="16" fillId="5" borderId="0" xfId="0" applyFont="1" applyFill="1" applyBorder="1"/>
    <xf numFmtId="0" fontId="17" fillId="5" borderId="18" xfId="0" applyFont="1" applyFill="1" applyBorder="1" applyAlignment="1">
      <alignment horizontal="left"/>
    </xf>
    <xf numFmtId="0" fontId="16" fillId="5" borderId="18" xfId="0" applyFont="1" applyFill="1" applyBorder="1" applyAlignment="1">
      <alignment horizontal="center"/>
    </xf>
    <xf numFmtId="18" fontId="16" fillId="5" borderId="18" xfId="0" applyNumberFormat="1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vertical="center"/>
    </xf>
    <xf numFmtId="0" fontId="16" fillId="5" borderId="0" xfId="0" applyFont="1" applyFill="1" applyBorder="1" applyAlignment="1">
      <alignment vertical="center"/>
    </xf>
    <xf numFmtId="18" fontId="16" fillId="5" borderId="0" xfId="0" applyNumberFormat="1" applyFont="1" applyFill="1" applyBorder="1" applyAlignment="1">
      <alignment horizontal="center" vertical="center"/>
    </xf>
    <xf numFmtId="0" fontId="16" fillId="5" borderId="0" xfId="0" applyFont="1" applyFill="1" applyBorder="1" applyAlignment="1"/>
    <xf numFmtId="0" fontId="20" fillId="5" borderId="0" xfId="0" applyFont="1" applyFill="1" applyAlignment="1">
      <alignment horizontal="center"/>
    </xf>
    <xf numFmtId="0" fontId="0" fillId="5" borderId="1" xfId="0" applyFill="1" applyBorder="1" applyAlignment="1">
      <alignment horizontal="right" vertical="center"/>
    </xf>
    <xf numFmtId="0" fontId="0" fillId="5" borderId="0" xfId="0" applyFill="1" applyBorder="1" applyAlignment="1"/>
    <xf numFmtId="168" fontId="0" fillId="5" borderId="1" xfId="0" applyNumberFormat="1" applyFill="1" applyBorder="1" applyAlignment="1">
      <alignment horizontal="right" vertical="center"/>
    </xf>
    <xf numFmtId="168" fontId="0" fillId="5" borderId="0" xfId="0" applyNumberFormat="1" applyFill="1" applyBorder="1"/>
    <xf numFmtId="0" fontId="5" fillId="5" borderId="0" xfId="0" applyFont="1" applyFill="1" applyBorder="1" applyAlignment="1">
      <alignment horizontal="center" vertical="center"/>
    </xf>
    <xf numFmtId="0" fontId="0" fillId="7" borderId="28" xfId="0" applyFill="1" applyBorder="1"/>
    <xf numFmtId="0" fontId="0" fillId="5" borderId="40" xfId="0" applyFill="1" applyBorder="1" applyAlignment="1">
      <alignment horizontal="left" vertical="top"/>
    </xf>
    <xf numFmtId="4" fontId="0" fillId="5" borderId="0" xfId="0" applyNumberFormat="1" applyFill="1" applyBorder="1"/>
    <xf numFmtId="4" fontId="0" fillId="5" borderId="7" xfId="0" applyNumberFormat="1" applyFill="1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0" fillId="5" borderId="41" xfId="0" applyFill="1" applyBorder="1"/>
    <xf numFmtId="0" fontId="4" fillId="5" borderId="41" xfId="0" applyFont="1" applyFill="1" applyBorder="1" applyAlignment="1">
      <alignment horizontal="center" vertical="center"/>
    </xf>
    <xf numFmtId="165" fontId="10" fillId="5" borderId="7" xfId="0" applyNumberFormat="1" applyFont="1" applyFill="1" applyBorder="1"/>
    <xf numFmtId="165" fontId="7" fillId="5" borderId="7" xfId="0" applyNumberFormat="1" applyFont="1" applyFill="1" applyBorder="1"/>
    <xf numFmtId="165" fontId="10" fillId="5" borderId="8" xfId="0" applyNumberFormat="1" applyFont="1" applyFill="1" applyBorder="1"/>
    <xf numFmtId="0" fontId="1" fillId="5" borderId="2" xfId="0" applyFont="1" applyFill="1" applyBorder="1"/>
    <xf numFmtId="0" fontId="7" fillId="5" borderId="29" xfId="0" applyFont="1" applyFill="1" applyBorder="1"/>
    <xf numFmtId="0" fontId="1" fillId="5" borderId="3" xfId="0" applyFont="1" applyFill="1" applyBorder="1"/>
    <xf numFmtId="0" fontId="17" fillId="5" borderId="42" xfId="0" applyFont="1" applyFill="1" applyBorder="1" applyAlignment="1"/>
    <xf numFmtId="0" fontId="16" fillId="5" borderId="42" xfId="0" applyFont="1" applyFill="1" applyBorder="1" applyAlignment="1">
      <alignment vertical="center"/>
    </xf>
    <xf numFmtId="0" fontId="17" fillId="5" borderId="42" xfId="0" applyFont="1" applyFill="1" applyBorder="1" applyAlignment="1">
      <alignment vertical="center"/>
    </xf>
    <xf numFmtId="165" fontId="1" fillId="5" borderId="2" xfId="0" applyNumberFormat="1" applyFont="1" applyFill="1" applyBorder="1"/>
    <xf numFmtId="0" fontId="1" fillId="5" borderId="28" xfId="0" applyFont="1" applyFill="1" applyBorder="1"/>
    <xf numFmtId="168" fontId="0" fillId="5" borderId="0" xfId="0" applyNumberFormat="1" applyFill="1"/>
    <xf numFmtId="0" fontId="1" fillId="5" borderId="0" xfId="0" applyFont="1" applyFill="1" applyBorder="1"/>
    <xf numFmtId="168" fontId="1" fillId="5" borderId="0" xfId="0" applyNumberFormat="1" applyFont="1" applyFill="1" applyBorder="1"/>
    <xf numFmtId="0" fontId="24" fillId="5" borderId="0" xfId="2" applyFill="1" applyBorder="1"/>
    <xf numFmtId="0" fontId="0" fillId="5" borderId="0" xfId="0" applyFill="1" applyProtection="1">
      <protection locked="0"/>
    </xf>
    <xf numFmtId="165" fontId="0" fillId="7" borderId="27" xfId="0" applyNumberFormat="1" applyFill="1" applyBorder="1"/>
    <xf numFmtId="165" fontId="0" fillId="7" borderId="8" xfId="0" applyNumberFormat="1" applyFill="1" applyBorder="1"/>
    <xf numFmtId="165" fontId="0" fillId="7" borderId="5" xfId="0" applyNumberFormat="1" applyFill="1" applyBorder="1"/>
    <xf numFmtId="165" fontId="1" fillId="6" borderId="29" xfId="0" applyNumberFormat="1" applyFont="1" applyFill="1" applyBorder="1"/>
    <xf numFmtId="165" fontId="0" fillId="5" borderId="28" xfId="0" applyNumberFormat="1" applyFill="1" applyBorder="1"/>
    <xf numFmtId="165" fontId="0" fillId="5" borderId="38" xfId="0" applyNumberFormat="1" applyFill="1" applyBorder="1"/>
    <xf numFmtId="165" fontId="0" fillId="5" borderId="29" xfId="0" applyNumberFormat="1" applyFill="1" applyBorder="1"/>
    <xf numFmtId="0" fontId="0" fillId="5" borderId="0" xfId="0" applyFill="1" applyBorder="1" applyAlignment="1" applyProtection="1">
      <alignment vertical="center"/>
      <protection locked="0"/>
    </xf>
    <xf numFmtId="0" fontId="0" fillId="5" borderId="0" xfId="0" applyFill="1" applyBorder="1" applyProtection="1">
      <protection locked="0"/>
    </xf>
    <xf numFmtId="0" fontId="0" fillId="0" borderId="0" xfId="0" applyFill="1" applyBorder="1" applyProtection="1">
      <protection locked="0"/>
    </xf>
    <xf numFmtId="22" fontId="31" fillId="5" borderId="0" xfId="0" applyNumberFormat="1" applyFont="1" applyFill="1" applyBorder="1"/>
    <xf numFmtId="0" fontId="0" fillId="5" borderId="0" xfId="0" applyFill="1" applyBorder="1" applyProtection="1"/>
    <xf numFmtId="0" fontId="0" fillId="5" borderId="0" xfId="0" applyFill="1" applyBorder="1" applyAlignment="1" applyProtection="1">
      <alignment vertical="center"/>
    </xf>
    <xf numFmtId="0" fontId="0" fillId="5" borderId="0" xfId="0" applyFill="1" applyProtection="1"/>
    <xf numFmtId="0" fontId="0" fillId="5" borderId="10" xfId="0" applyFill="1" applyBorder="1" applyProtection="1"/>
    <xf numFmtId="0" fontId="0" fillId="5" borderId="11" xfId="0" applyFill="1" applyBorder="1" applyProtection="1"/>
    <xf numFmtId="0" fontId="0" fillId="5" borderId="12" xfId="0" applyFill="1" applyBorder="1" applyProtection="1"/>
    <xf numFmtId="0" fontId="0" fillId="5" borderId="13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center"/>
    </xf>
    <xf numFmtId="0" fontId="0" fillId="5" borderId="14" xfId="0" applyFill="1" applyBorder="1" applyProtection="1"/>
    <xf numFmtId="0" fontId="0" fillId="5" borderId="1" xfId="0" applyFill="1" applyBorder="1" applyAlignment="1" applyProtection="1">
      <alignment horizontal="left"/>
    </xf>
    <xf numFmtId="0" fontId="0" fillId="5" borderId="0" xfId="0" applyFill="1" applyAlignment="1" applyProtection="1">
      <alignment horizontal="left"/>
    </xf>
    <xf numFmtId="0" fontId="0" fillId="5" borderId="28" xfId="0" applyFill="1" applyBorder="1" applyProtection="1"/>
    <xf numFmtId="0" fontId="0" fillId="5" borderId="0" xfId="0" applyFill="1" applyBorder="1" applyAlignment="1" applyProtection="1">
      <alignment horizontal="left"/>
    </xf>
    <xf numFmtId="0" fontId="0" fillId="5" borderId="3" xfId="0" applyFill="1" applyBorder="1" applyAlignment="1" applyProtection="1">
      <alignment horizontal="left"/>
    </xf>
    <xf numFmtId="0" fontId="0" fillId="5" borderId="9" xfId="0" applyFill="1" applyBorder="1" applyAlignment="1" applyProtection="1">
      <alignment horizontal="left"/>
    </xf>
    <xf numFmtId="0" fontId="0" fillId="5" borderId="2" xfId="0" applyFill="1" applyBorder="1" applyAlignment="1" applyProtection="1">
      <alignment horizontal="left"/>
    </xf>
    <xf numFmtId="0" fontId="0" fillId="5" borderId="15" xfId="0" applyFill="1" applyBorder="1" applyProtection="1"/>
    <xf numFmtId="0" fontId="0" fillId="5" borderId="16" xfId="0" applyFill="1" applyBorder="1" applyProtection="1"/>
    <xf numFmtId="0" fontId="0" fillId="5" borderId="17" xfId="0" applyFill="1" applyBorder="1" applyProtection="1"/>
    <xf numFmtId="0" fontId="0" fillId="5" borderId="26" xfId="0" applyFill="1" applyBorder="1" applyAlignment="1" applyProtection="1"/>
    <xf numFmtId="0" fontId="0" fillId="5" borderId="0" xfId="0" applyFill="1" applyBorder="1" applyAlignment="1" applyProtection="1"/>
    <xf numFmtId="0" fontId="0" fillId="5" borderId="1" xfId="0" applyFill="1" applyBorder="1"/>
    <xf numFmtId="0" fontId="0" fillId="5" borderId="18" xfId="0" applyFill="1" applyBorder="1" applyAlignment="1" applyProtection="1">
      <alignment horizontal="center" vertical="center"/>
    </xf>
    <xf numFmtId="0" fontId="4" fillId="5" borderId="19" xfId="0" applyFont="1" applyFill="1" applyBorder="1" applyAlignment="1" applyProtection="1">
      <alignment horizontal="center" vertical="center" wrapText="1"/>
    </xf>
    <xf numFmtId="0" fontId="4" fillId="5" borderId="20" xfId="0" applyFont="1" applyFill="1" applyBorder="1" applyAlignment="1" applyProtection="1">
      <alignment horizontal="center" vertical="center" wrapText="1"/>
    </xf>
    <xf numFmtId="0" fontId="4" fillId="5" borderId="21" xfId="0" applyFont="1" applyFill="1" applyBorder="1" applyAlignment="1" applyProtection="1">
      <alignment horizontal="center" vertical="center" wrapText="1"/>
    </xf>
    <xf numFmtId="0" fontId="4" fillId="5" borderId="40" xfId="0" applyFont="1" applyFill="1" applyBorder="1" applyAlignment="1" applyProtection="1">
      <alignment horizontal="center" vertical="center" wrapText="1"/>
    </xf>
    <xf numFmtId="0" fontId="4" fillId="5" borderId="0" xfId="0" applyFont="1" applyFill="1" applyBorder="1" applyAlignment="1" applyProtection="1">
      <alignment horizontal="center" vertical="center" wrapText="1"/>
    </xf>
    <xf numFmtId="0" fontId="4" fillId="5" borderId="39" xfId="0" applyFont="1" applyFill="1" applyBorder="1" applyAlignment="1" applyProtection="1">
      <alignment horizontal="center" vertical="center" wrapText="1"/>
    </xf>
    <xf numFmtId="0" fontId="4" fillId="5" borderId="22" xfId="0" applyFont="1" applyFill="1" applyBorder="1" applyAlignment="1" applyProtection="1">
      <alignment horizontal="center" vertical="center" wrapText="1"/>
    </xf>
    <xf numFmtId="0" fontId="4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Alignment="1" applyProtection="1">
      <alignment horizontal="center" vertical="center" wrapText="1"/>
    </xf>
    <xf numFmtId="0" fontId="0" fillId="5" borderId="43" xfId="0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  <protection locked="0"/>
    </xf>
    <xf numFmtId="168" fontId="0" fillId="5" borderId="18" xfId="0" applyNumberFormat="1" applyFill="1" applyBorder="1" applyAlignment="1" applyProtection="1">
      <alignment horizontal="center" vertical="center"/>
    </xf>
    <xf numFmtId="0" fontId="0" fillId="5" borderId="18" xfId="0" applyNumberFormat="1" applyFill="1" applyBorder="1" applyAlignment="1" applyProtection="1">
      <alignment horizontal="center" vertical="center"/>
    </xf>
    <xf numFmtId="0" fontId="5" fillId="5" borderId="0" xfId="0" applyFont="1" applyFill="1" applyAlignment="1" applyProtection="1">
      <alignment horizontal="center"/>
    </xf>
    <xf numFmtId="0" fontId="0" fillId="5" borderId="3" xfId="0" applyFill="1" applyBorder="1" applyAlignment="1" applyProtection="1">
      <alignment horizontal="left"/>
      <protection locked="0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2" xfId="0" applyFill="1" applyBorder="1" applyAlignment="1" applyProtection="1">
      <alignment horizontal="left"/>
      <protection locked="0"/>
    </xf>
    <xf numFmtId="0" fontId="0" fillId="5" borderId="1" xfId="0" applyFill="1" applyBorder="1" applyAlignment="1" applyProtection="1">
      <alignment horizontal="left"/>
      <protection locked="0"/>
    </xf>
    <xf numFmtId="0" fontId="0" fillId="5" borderId="0" xfId="0" applyFill="1" applyBorder="1" applyAlignment="1" applyProtection="1"/>
    <xf numFmtId="168" fontId="0" fillId="5" borderId="3" xfId="0" applyNumberFormat="1" applyFill="1" applyBorder="1" applyAlignment="1" applyProtection="1">
      <alignment horizontal="left"/>
      <protection locked="0"/>
    </xf>
    <xf numFmtId="168" fontId="0" fillId="5" borderId="9" xfId="0" applyNumberFormat="1" applyFill="1" applyBorder="1" applyAlignment="1" applyProtection="1">
      <alignment horizontal="left"/>
      <protection locked="0"/>
    </xf>
    <xf numFmtId="168" fontId="0" fillId="5" borderId="2" xfId="0" applyNumberFormat="1" applyFill="1" applyBorder="1" applyAlignment="1" applyProtection="1">
      <alignment horizontal="left"/>
      <protection locked="0"/>
    </xf>
    <xf numFmtId="0" fontId="0" fillId="5" borderId="3" xfId="0" applyFill="1" applyBorder="1" applyAlignment="1" applyProtection="1">
      <alignment horizontal="left"/>
    </xf>
    <xf numFmtId="0" fontId="0" fillId="5" borderId="9" xfId="0" applyFill="1" applyBorder="1" applyAlignment="1" applyProtection="1">
      <alignment horizontal="left"/>
    </xf>
    <xf numFmtId="0" fontId="0" fillId="5" borderId="2" xfId="0" applyFill="1" applyBorder="1" applyAlignment="1" applyProtection="1">
      <alignment horizontal="left"/>
    </xf>
    <xf numFmtId="0" fontId="1" fillId="5" borderId="1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9" xfId="0" applyFill="1" applyBorder="1" applyAlignment="1"/>
    <xf numFmtId="0" fontId="0" fillId="5" borderId="2" xfId="0" applyFill="1" applyBorder="1" applyAlignment="1"/>
    <xf numFmtId="14" fontId="16" fillId="5" borderId="18" xfId="0" applyNumberFormat="1" applyFont="1" applyFill="1" applyBorder="1" applyAlignment="1">
      <alignment horizontal="center"/>
    </xf>
    <xf numFmtId="0" fontId="0" fillId="5" borderId="18" xfId="0" applyFill="1" applyBorder="1" applyAlignment="1"/>
    <xf numFmtId="0" fontId="16" fillId="5" borderId="18" xfId="0" applyFont="1" applyFill="1" applyBorder="1" applyAlignment="1">
      <alignment horizontal="center"/>
    </xf>
    <xf numFmtId="0" fontId="17" fillId="5" borderId="42" xfId="0" applyFont="1" applyFill="1" applyBorder="1" applyAlignment="1">
      <alignment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5" borderId="23" xfId="0" applyFont="1" applyFill="1" applyBorder="1" applyAlignment="1">
      <alignment horizontal="center" vertical="center"/>
    </xf>
    <xf numFmtId="0" fontId="17" fillId="5" borderId="24" xfId="0" applyFont="1" applyFill="1" applyBorder="1" applyAlignment="1">
      <alignment horizontal="center" vertical="center"/>
    </xf>
    <xf numFmtId="0" fontId="17" fillId="5" borderId="43" xfId="0" applyFont="1" applyFill="1" applyBorder="1" applyAlignment="1">
      <alignment vertical="center"/>
    </xf>
    <xf numFmtId="0" fontId="17" fillId="5" borderId="44" xfId="0" applyFont="1" applyFill="1" applyBorder="1" applyAlignment="1">
      <alignment vertical="center"/>
    </xf>
    <xf numFmtId="0" fontId="0" fillId="5" borderId="1" xfId="0" applyFill="1" applyBorder="1"/>
    <xf numFmtId="168" fontId="0" fillId="5" borderId="1" xfId="0" applyNumberFormat="1" applyFill="1" applyBorder="1"/>
    <xf numFmtId="0" fontId="20" fillId="5" borderId="0" xfId="0" applyFont="1" applyFill="1" applyAlignment="1">
      <alignment horizontal="center"/>
    </xf>
    <xf numFmtId="0" fontId="0" fillId="5" borderId="0" xfId="0" applyFill="1" applyAlignment="1"/>
    <xf numFmtId="0" fontId="0" fillId="5" borderId="1" xfId="0" applyFill="1" applyBorder="1" applyAlignment="1"/>
    <xf numFmtId="0" fontId="0" fillId="5" borderId="0" xfId="0" applyFill="1" applyBorder="1" applyAlignment="1"/>
    <xf numFmtId="0" fontId="0" fillId="5" borderId="19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4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22" xfId="0" applyFill="1" applyBorder="1" applyAlignment="1">
      <alignment horizontal="left" vertical="top"/>
    </xf>
    <xf numFmtId="0" fontId="0" fillId="5" borderId="23" xfId="0" applyFill="1" applyBorder="1" applyAlignment="1">
      <alignment horizontal="left" vertical="top"/>
    </xf>
    <xf numFmtId="22" fontId="6" fillId="5" borderId="0" xfId="0" applyNumberFormat="1" applyFont="1" applyFill="1" applyBorder="1" applyAlignment="1" applyProtection="1">
      <alignment vertical="center"/>
    </xf>
    <xf numFmtId="0" fontId="2" fillId="5" borderId="0" xfId="0" applyFont="1" applyFill="1" applyBorder="1" applyAlignment="1" applyProtection="1">
      <alignment vertical="center"/>
    </xf>
    <xf numFmtId="164" fontId="26" fillId="5" borderId="0" xfId="0" applyNumberFormat="1" applyFont="1" applyFill="1" applyBorder="1" applyAlignment="1" applyProtection="1">
      <alignment horizontal="center" vertical="center"/>
    </xf>
    <xf numFmtId="164" fontId="3" fillId="5" borderId="0" xfId="0" applyNumberFormat="1" applyFont="1" applyFill="1" applyBorder="1" applyAlignment="1" applyProtection="1">
      <alignment vertical="center"/>
    </xf>
    <xf numFmtId="0" fontId="26" fillId="5" borderId="0" xfId="0" applyFont="1" applyFill="1" applyBorder="1" applyAlignment="1" applyProtection="1">
      <alignment vertical="center"/>
    </xf>
    <xf numFmtId="0" fontId="26" fillId="5" borderId="0" xfId="0" applyFont="1" applyFill="1" applyBorder="1" applyAlignment="1" applyProtection="1">
      <alignment horizontal="center" vertical="center"/>
    </xf>
    <xf numFmtId="0" fontId="28" fillId="5" borderId="0" xfId="0" applyFont="1" applyFill="1" applyBorder="1" applyAlignment="1" applyProtection="1">
      <alignment vertical="center"/>
    </xf>
    <xf numFmtId="0" fontId="3" fillId="5" borderId="0" xfId="0" applyFont="1" applyFill="1" applyBorder="1" applyAlignment="1" applyProtection="1">
      <alignment vertical="center"/>
    </xf>
    <xf numFmtId="0" fontId="2" fillId="5" borderId="0" xfId="0" applyFont="1" applyFill="1" applyBorder="1" applyAlignment="1" applyProtection="1">
      <alignment vertical="center"/>
    </xf>
    <xf numFmtId="0" fontId="27" fillId="5" borderId="0" xfId="0" applyFont="1" applyFill="1" applyBorder="1" applyAlignment="1" applyProtection="1">
      <alignment horizontal="center" vertical="center"/>
    </xf>
    <xf numFmtId="0" fontId="25" fillId="5" borderId="0" xfId="0" applyFont="1" applyFill="1" applyProtection="1"/>
    <xf numFmtId="0" fontId="4" fillId="5" borderId="0" xfId="0" applyFont="1" applyFill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top"/>
    </xf>
    <xf numFmtId="0" fontId="0" fillId="5" borderId="27" xfId="0" applyFill="1" applyBorder="1" applyProtection="1">
      <protection locked="0"/>
    </xf>
    <xf numFmtId="0" fontId="0" fillId="5" borderId="8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5" borderId="1" xfId="0" applyFill="1" applyBorder="1" applyProtection="1">
      <protection locked="0"/>
    </xf>
    <xf numFmtId="165" fontId="0" fillId="5" borderId="0" xfId="0" applyNumberFormat="1" applyFill="1" applyProtection="1"/>
    <xf numFmtId="0" fontId="1" fillId="4" borderId="1" xfId="0" applyFont="1" applyFill="1" applyBorder="1" applyAlignment="1" applyProtection="1">
      <alignment horizontal="center"/>
    </xf>
    <xf numFmtId="165" fontId="1" fillId="4" borderId="28" xfId="0" applyNumberFormat="1" applyFont="1" applyFill="1" applyBorder="1" applyProtection="1"/>
    <xf numFmtId="0" fontId="1" fillId="4" borderId="1" xfId="0" applyFont="1" applyFill="1" applyBorder="1" applyProtection="1"/>
    <xf numFmtId="0" fontId="1" fillId="4" borderId="28" xfId="0" applyFont="1" applyFill="1" applyBorder="1" applyProtection="1"/>
    <xf numFmtId="165" fontId="1" fillId="2" borderId="0" xfId="0" applyNumberFormat="1" applyFont="1" applyFill="1" applyBorder="1" applyProtection="1"/>
    <xf numFmtId="0" fontId="0" fillId="2" borderId="0" xfId="0" applyFill="1" applyProtection="1"/>
    <xf numFmtId="0" fontId="0" fillId="2" borderId="3" xfId="0" applyFill="1" applyBorder="1" applyProtection="1"/>
    <xf numFmtId="165" fontId="0" fillId="4" borderId="28" xfId="0" applyNumberFormat="1" applyFill="1" applyBorder="1" applyProtection="1"/>
    <xf numFmtId="0" fontId="0" fillId="2" borderId="9" xfId="0" applyFill="1" applyBorder="1" applyProtection="1"/>
    <xf numFmtId="0" fontId="0" fillId="2" borderId="1" xfId="0" applyFill="1" applyBorder="1" applyProtection="1"/>
    <xf numFmtId="165" fontId="0" fillId="4" borderId="1" xfId="0" applyNumberFormat="1" applyFill="1" applyBorder="1" applyProtection="1"/>
    <xf numFmtId="165" fontId="0" fillId="2" borderId="0" xfId="0" applyNumberFormat="1" applyFill="1" applyProtection="1"/>
    <xf numFmtId="0" fontId="18" fillId="2" borderId="3" xfId="0" applyFont="1" applyFill="1" applyBorder="1" applyAlignment="1" applyProtection="1">
      <alignment vertical="center"/>
    </xf>
    <xf numFmtId="165" fontId="0" fillId="4" borderId="38" xfId="0" applyNumberFormat="1" applyFill="1" applyBorder="1" applyProtection="1"/>
    <xf numFmtId="0" fontId="18" fillId="2" borderId="9" xfId="0" applyFont="1" applyFill="1" applyBorder="1" applyAlignment="1" applyProtection="1">
      <alignment vertical="center"/>
    </xf>
    <xf numFmtId="165" fontId="0" fillId="4" borderId="29" xfId="0" applyNumberFormat="1" applyFill="1" applyBorder="1" applyProtection="1"/>
    <xf numFmtId="0" fontId="0" fillId="2" borderId="2" xfId="0" applyFill="1" applyBorder="1" applyProtection="1"/>
    <xf numFmtId="0" fontId="18" fillId="2" borderId="1" xfId="0" applyFont="1" applyFill="1" applyBorder="1" applyAlignment="1" applyProtection="1">
      <alignment vertical="center"/>
    </xf>
    <xf numFmtId="0" fontId="19" fillId="2" borderId="1" xfId="0" applyFont="1" applyFill="1" applyBorder="1" applyAlignment="1" applyProtection="1">
      <alignment vertical="center"/>
    </xf>
    <xf numFmtId="165" fontId="0" fillId="2" borderId="1" xfId="0" applyNumberFormat="1" applyFill="1" applyBorder="1" applyProtection="1"/>
    <xf numFmtId="0" fontId="18" fillId="4" borderId="1" xfId="0" applyFont="1" applyFill="1" applyBorder="1" applyAlignment="1" applyProtection="1">
      <alignment vertical="center"/>
    </xf>
    <xf numFmtId="0" fontId="18" fillId="5" borderId="0" xfId="0" applyFont="1" applyFill="1" applyBorder="1" applyAlignment="1" applyProtection="1">
      <alignment vertical="center"/>
    </xf>
    <xf numFmtId="165" fontId="0" fillId="5" borderId="0" xfId="0" applyNumberFormat="1" applyFill="1" applyBorder="1" applyProtection="1"/>
    <xf numFmtId="0" fontId="23" fillId="5" borderId="0" xfId="0" applyFont="1" applyFill="1" applyBorder="1" applyAlignment="1" applyProtection="1">
      <alignment vertical="center"/>
    </xf>
    <xf numFmtId="0" fontId="23" fillId="5" borderId="0" xfId="0" applyFont="1" applyFill="1" applyBorder="1" applyAlignment="1" applyProtection="1"/>
    <xf numFmtId="0" fontId="23" fillId="5" borderId="0" xfId="0" applyFont="1" applyFill="1" applyBorder="1" applyAlignment="1" applyProtection="1">
      <alignment vertical="center" wrapText="1"/>
    </xf>
    <xf numFmtId="0" fontId="22" fillId="5" borderId="0" xfId="0" applyFont="1" applyFill="1" applyBorder="1" applyAlignment="1" applyProtection="1"/>
    <xf numFmtId="0" fontId="22" fillId="5" borderId="0" xfId="0" applyFont="1" applyFill="1" applyBorder="1" applyAlignment="1" applyProtection="1">
      <alignment horizontal="right"/>
    </xf>
    <xf numFmtId="17" fontId="22" fillId="5" borderId="0" xfId="0" applyNumberFormat="1" applyFont="1" applyFill="1" applyBorder="1" applyAlignment="1" applyProtection="1">
      <alignment horizontal="right"/>
    </xf>
    <xf numFmtId="0" fontId="22" fillId="5" borderId="0" xfId="0" applyFont="1" applyFill="1" applyBorder="1" applyAlignment="1" applyProtection="1">
      <alignment vertical="center"/>
    </xf>
    <xf numFmtId="0" fontId="22" fillId="5" borderId="25" xfId="0" applyFont="1" applyFill="1" applyBorder="1" applyAlignment="1" applyProtection="1">
      <alignment vertical="center" wrapText="1"/>
    </xf>
    <xf numFmtId="0" fontId="22" fillId="5" borderId="32" xfId="0" applyFont="1" applyFill="1" applyBorder="1" applyAlignment="1" applyProtection="1">
      <alignment horizontal="center" vertical="center" wrapText="1"/>
    </xf>
    <xf numFmtId="17" fontId="22" fillId="5" borderId="32" xfId="0" applyNumberFormat="1" applyFont="1" applyFill="1" applyBorder="1" applyAlignment="1" applyProtection="1">
      <alignment horizontal="center" vertical="center" wrapText="1"/>
    </xf>
    <xf numFmtId="167" fontId="22" fillId="5" borderId="33" xfId="0" applyNumberFormat="1" applyFont="1" applyFill="1" applyBorder="1" applyAlignment="1" applyProtection="1">
      <alignment horizontal="center" vertical="center" wrapText="1"/>
    </xf>
    <xf numFmtId="0" fontId="22" fillId="2" borderId="34" xfId="0" applyFont="1" applyFill="1" applyBorder="1" applyAlignment="1" applyProtection="1">
      <alignment vertical="center" wrapText="1"/>
    </xf>
    <xf numFmtId="3" fontId="23" fillId="2" borderId="18" xfId="0" applyNumberFormat="1" applyFont="1" applyFill="1" applyBorder="1" applyAlignment="1" applyProtection="1">
      <alignment vertical="center"/>
    </xf>
    <xf numFmtId="3" fontId="23" fillId="2" borderId="31" xfId="0" applyNumberFormat="1" applyFont="1" applyFill="1" applyBorder="1" applyAlignment="1" applyProtection="1">
      <alignment vertical="center"/>
    </xf>
    <xf numFmtId="0" fontId="22" fillId="4" borderId="34" xfId="0" applyFont="1" applyFill="1" applyBorder="1" applyAlignment="1" applyProtection="1">
      <alignment vertical="center" wrapText="1"/>
    </xf>
    <xf numFmtId="3" fontId="23" fillId="4" borderId="18" xfId="0" applyNumberFormat="1" applyFont="1" applyFill="1" applyBorder="1" applyAlignment="1" applyProtection="1">
      <alignment vertical="center"/>
    </xf>
    <xf numFmtId="3" fontId="23" fillId="4" borderId="31" xfId="0" applyNumberFormat="1" applyFont="1" applyFill="1" applyBorder="1" applyAlignment="1" applyProtection="1">
      <alignment vertical="center"/>
    </xf>
    <xf numFmtId="0" fontId="23" fillId="3" borderId="34" xfId="0" applyFont="1" applyFill="1" applyBorder="1" applyAlignment="1" applyProtection="1">
      <alignment vertical="center" wrapText="1"/>
    </xf>
    <xf numFmtId="3" fontId="23" fillId="3" borderId="18" xfId="0" applyNumberFormat="1" applyFont="1" applyFill="1" applyBorder="1" applyAlignment="1" applyProtection="1">
      <alignment vertical="center"/>
    </xf>
    <xf numFmtId="3" fontId="23" fillId="3" borderId="31" xfId="0" applyNumberFormat="1" applyFont="1" applyFill="1" applyBorder="1" applyAlignment="1" applyProtection="1">
      <alignment vertical="center"/>
    </xf>
    <xf numFmtId="0" fontId="23" fillId="4" borderId="34" xfId="0" applyFont="1" applyFill="1" applyBorder="1" applyAlignment="1" applyProtection="1">
      <alignment vertical="center" wrapText="1"/>
    </xf>
    <xf numFmtId="0" fontId="22" fillId="5" borderId="34" xfId="0" applyFont="1" applyFill="1" applyBorder="1" applyAlignment="1" applyProtection="1">
      <alignment vertical="center" wrapText="1"/>
    </xf>
    <xf numFmtId="3" fontId="23" fillId="5" borderId="18" xfId="0" applyNumberFormat="1" applyFont="1" applyFill="1" applyBorder="1" applyAlignment="1" applyProtection="1">
      <alignment vertical="center"/>
    </xf>
    <xf numFmtId="3" fontId="23" fillId="5" borderId="31" xfId="0" applyNumberFormat="1" applyFont="1" applyFill="1" applyBorder="1" applyAlignment="1" applyProtection="1">
      <alignment vertical="center"/>
    </xf>
    <xf numFmtId="0" fontId="22" fillId="3" borderId="34" xfId="0" applyFont="1" applyFill="1" applyBorder="1" applyAlignment="1" applyProtection="1">
      <alignment vertical="center" wrapText="1"/>
    </xf>
    <xf numFmtId="0" fontId="22" fillId="2" borderId="35" xfId="0" applyFont="1" applyFill="1" applyBorder="1" applyAlignment="1" applyProtection="1">
      <alignment vertical="center" wrapText="1"/>
    </xf>
    <xf numFmtId="3" fontId="23" fillId="2" borderId="36" xfId="0" applyNumberFormat="1" applyFont="1" applyFill="1" applyBorder="1" applyAlignment="1" applyProtection="1">
      <alignment vertical="center"/>
    </xf>
    <xf numFmtId="3" fontId="23" fillId="2" borderId="37" xfId="0" applyNumberFormat="1" applyFont="1" applyFill="1" applyBorder="1" applyAlignment="1" applyProtection="1">
      <alignment vertical="center"/>
    </xf>
    <xf numFmtId="0" fontId="22" fillId="5" borderId="0" xfId="0" applyFont="1" applyFill="1" applyBorder="1" applyAlignment="1" applyProtection="1">
      <alignment vertical="center" wrapText="1"/>
    </xf>
    <xf numFmtId="3" fontId="23" fillId="5" borderId="0" xfId="0" applyNumberFormat="1" applyFont="1" applyFill="1" applyBorder="1" applyAlignment="1" applyProtection="1">
      <alignment vertical="center"/>
    </xf>
    <xf numFmtId="3" fontId="23" fillId="2" borderId="18" xfId="0" applyNumberFormat="1" applyFont="1" applyFill="1" applyBorder="1" applyAlignment="1" applyProtection="1">
      <alignment vertical="center"/>
      <protection locked="0"/>
    </xf>
    <xf numFmtId="0" fontId="23" fillId="3" borderId="18" xfId="0" applyFont="1" applyFill="1" applyBorder="1" applyAlignment="1" applyProtection="1">
      <alignment vertical="center"/>
      <protection locked="0"/>
    </xf>
    <xf numFmtId="3" fontId="23" fillId="4" borderId="18" xfId="0" applyNumberFormat="1" applyFont="1" applyFill="1" applyBorder="1" applyAlignment="1" applyProtection="1">
      <alignment vertical="center"/>
      <protection locked="0"/>
    </xf>
    <xf numFmtId="3" fontId="23" fillId="3" borderId="18" xfId="0" applyNumberFormat="1" applyFont="1" applyFill="1" applyBorder="1" applyAlignment="1" applyProtection="1">
      <alignment vertical="center"/>
      <protection locked="0"/>
    </xf>
    <xf numFmtId="3" fontId="23" fillId="5" borderId="18" xfId="0" applyNumberFormat="1" applyFont="1" applyFill="1" applyBorder="1" applyAlignment="1" applyProtection="1">
      <alignment vertical="center"/>
      <protection locked="0"/>
    </xf>
    <xf numFmtId="0" fontId="23" fillId="4" borderId="18" xfId="0" applyFont="1" applyFill="1" applyBorder="1" applyAlignment="1" applyProtection="1">
      <alignment vertical="center"/>
      <protection locked="0"/>
    </xf>
    <xf numFmtId="0" fontId="21" fillId="3" borderId="18" xfId="0" applyFont="1" applyFill="1" applyBorder="1" applyAlignment="1" applyProtection="1">
      <alignment vertical="center"/>
      <protection locked="0"/>
    </xf>
    <xf numFmtId="0" fontId="21" fillId="4" borderId="18" xfId="0" applyFont="1" applyFill="1" applyBorder="1" applyAlignment="1" applyProtection="1">
      <alignment vertical="center"/>
      <protection locked="0"/>
    </xf>
    <xf numFmtId="3" fontId="23" fillId="2" borderId="36" xfId="0" applyNumberFormat="1" applyFont="1" applyFill="1" applyBorder="1" applyAlignment="1" applyProtection="1">
      <alignment vertical="center"/>
      <protection locked="0"/>
    </xf>
    <xf numFmtId="0" fontId="9" fillId="5" borderId="1" xfId="1" applyFont="1" applyFill="1" applyBorder="1" applyAlignment="1" applyProtection="1">
      <alignment horizontal="center"/>
      <protection locked="0"/>
    </xf>
    <xf numFmtId="0" fontId="0" fillId="5" borderId="4" xfId="0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7" fillId="5" borderId="28" xfId="0" applyFont="1" applyFill="1" applyBorder="1" applyProtection="1">
      <protection locked="0"/>
    </xf>
    <xf numFmtId="165" fontId="10" fillId="5" borderId="0" xfId="0" applyNumberFormat="1" applyFont="1" applyFill="1" applyBorder="1" applyProtection="1">
      <protection locked="0"/>
    </xf>
    <xf numFmtId="0" fontId="7" fillId="5" borderId="25" xfId="0" applyFont="1" applyFill="1" applyBorder="1" applyProtection="1">
      <protection locked="0"/>
    </xf>
    <xf numFmtId="0" fontId="7" fillId="5" borderId="0" xfId="0" applyFont="1" applyFill="1" applyBorder="1" applyProtection="1">
      <protection locked="0"/>
    </xf>
    <xf numFmtId="0" fontId="7" fillId="5" borderId="38" xfId="0" applyFont="1" applyFill="1" applyBorder="1" applyProtection="1">
      <protection locked="0"/>
    </xf>
    <xf numFmtId="0" fontId="7" fillId="5" borderId="4" xfId="0" applyFont="1" applyFill="1" applyBorder="1" applyProtection="1">
      <protection locked="0"/>
    </xf>
    <xf numFmtId="0" fontId="0" fillId="5" borderId="29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7" fillId="5" borderId="29" xfId="0" applyFont="1" applyFill="1" applyBorder="1" applyProtection="1">
      <protection locked="0"/>
    </xf>
    <xf numFmtId="165" fontId="10" fillId="5" borderId="7" xfId="0" applyNumberFormat="1" applyFont="1" applyFill="1" applyBorder="1" applyProtection="1">
      <protection locked="0"/>
    </xf>
    <xf numFmtId="0" fontId="7" fillId="5" borderId="6" xfId="0" applyFont="1" applyFill="1" applyBorder="1" applyProtection="1">
      <protection locked="0"/>
    </xf>
    <xf numFmtId="0" fontId="7" fillId="5" borderId="7" xfId="0" applyFont="1" applyFill="1" applyBorder="1" applyProtection="1">
      <protection locked="0"/>
    </xf>
    <xf numFmtId="0" fontId="11" fillId="5" borderId="0" xfId="0" applyFont="1" applyFill="1" applyProtection="1"/>
    <xf numFmtId="0" fontId="9" fillId="5" borderId="1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 vertical="center"/>
    </xf>
    <xf numFmtId="0" fontId="14" fillId="5" borderId="1" xfId="0" applyFont="1" applyFill="1" applyBorder="1" applyAlignment="1" applyProtection="1">
      <alignment horizontal="center" vertical="center"/>
    </xf>
    <xf numFmtId="166" fontId="9" fillId="5" borderId="0" xfId="0" applyNumberFormat="1" applyFont="1" applyFill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13" fillId="5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left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166" fontId="9" fillId="5" borderId="1" xfId="0" applyNumberFormat="1" applyFont="1" applyFill="1" applyBorder="1" applyAlignment="1" applyProtection="1">
      <alignment horizontal="center" vertical="center"/>
      <protection locked="0"/>
    </xf>
    <xf numFmtId="1" fontId="9" fillId="5" borderId="1" xfId="0" applyNumberFormat="1" applyFont="1" applyFill="1" applyBorder="1" applyAlignment="1" applyProtection="1">
      <alignment horizontal="center" vertical="center"/>
      <protection locked="0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16" fillId="5" borderId="18" xfId="0" applyNumberFormat="1" applyFont="1" applyFill="1" applyBorder="1" applyAlignment="1" applyProtection="1">
      <alignment horizontal="center" vertical="center"/>
      <protection locked="0"/>
    </xf>
    <xf numFmtId="0" fontId="16" fillId="5" borderId="18" xfId="0" applyFont="1" applyFill="1" applyBorder="1" applyAlignment="1" applyProtection="1">
      <alignment vertical="center"/>
      <protection locked="0"/>
    </xf>
    <xf numFmtId="18" fontId="16" fillId="5" borderId="18" xfId="0" applyNumberFormat="1" applyFont="1" applyFill="1" applyBorder="1" applyAlignment="1" applyProtection="1">
      <alignment horizontal="center" vertical="center"/>
      <protection locked="0"/>
    </xf>
    <xf numFmtId="1" fontId="16" fillId="5" borderId="18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2" xfId="1"/>
  </cellStyles>
  <dxfs count="20">
    <dxf>
      <fill>
        <patternFill>
          <bgColor theme="0" tint="-0.34998626667073579"/>
        </patternFill>
      </fill>
    </dxf>
    <dxf>
      <fill>
        <patternFill>
          <bgColor rgb="FFFFFF66"/>
        </patternFill>
      </fill>
    </dxf>
    <dxf>
      <font>
        <b val="0"/>
        <i val="0"/>
      </font>
      <fill>
        <patternFill>
          <bgColor theme="2"/>
        </patternFill>
      </fill>
    </dxf>
    <dxf>
      <font>
        <b val="0"/>
        <i val="0"/>
      </font>
      <fill>
        <patternFill>
          <bgColor theme="2"/>
        </patternFill>
      </fill>
    </dxf>
    <dxf>
      <font>
        <b val="0"/>
        <i val="0"/>
      </font>
      <fill>
        <patternFill>
          <bgColor theme="2"/>
        </patternFill>
      </fill>
    </dxf>
    <dxf>
      <font>
        <b val="0"/>
        <i val="0"/>
      </font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</font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</font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B65252"/>
      <color rgb="FFCC3300"/>
      <color rgb="FFFFFF66"/>
      <color rgb="FFFFFF99"/>
      <color rgb="FFFF0000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Cash On Hand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CashFlow!$A$5</c:f>
              <c:strCache>
                <c:ptCount val="1"/>
                <c:pt idx="0">
                  <c:v>Cash on Hand (beginning of month)</c:v>
                </c:pt>
              </c:strCache>
            </c:strRef>
          </c:tx>
          <c:invertIfNegative val="0"/>
          <c:cat>
            <c:strRef>
              <c:f>CashFlow!$B$4:$O$4</c:f>
              <c:strCache>
                <c:ptCount val="13"/>
                <c:pt idx="0">
                  <c:v>Jan-13</c:v>
                </c:pt>
                <c:pt idx="1">
                  <c:v>Feb-13</c:v>
                </c:pt>
                <c:pt idx="2">
                  <c:v>Mar-13</c:v>
                </c:pt>
                <c:pt idx="3">
                  <c:v>Apr-13</c:v>
                </c:pt>
                <c:pt idx="4">
                  <c:v>May-13</c:v>
                </c:pt>
                <c:pt idx="5">
                  <c:v>Jun-13</c:v>
                </c:pt>
                <c:pt idx="6">
                  <c:v>Jul-13</c:v>
                </c:pt>
                <c:pt idx="7">
                  <c:v>Aug-13</c:v>
                </c:pt>
                <c:pt idx="8">
                  <c:v>Sep-13</c:v>
                </c:pt>
                <c:pt idx="9">
                  <c:v>Oct-13</c:v>
                </c:pt>
                <c:pt idx="10">
                  <c:v>Nov-13</c:v>
                </c:pt>
                <c:pt idx="11">
                  <c:v>Dec-13</c:v>
                </c:pt>
                <c:pt idx="12">
                  <c:v>Total Item EST</c:v>
                </c:pt>
              </c:strCache>
            </c:strRef>
          </c:cat>
          <c:val>
            <c:numRef>
              <c:f>CashFlow!$B$5:$O$5</c:f>
              <c:numCache>
                <c:formatCode>#,##0</c:formatCode>
                <c:ptCount val="13"/>
                <c:pt idx="0">
                  <c:v>118616.5</c:v>
                </c:pt>
                <c:pt idx="1">
                  <c:v>117467.53484000001</c:v>
                </c:pt>
                <c:pt idx="2">
                  <c:v>116318.56968000002</c:v>
                </c:pt>
                <c:pt idx="3">
                  <c:v>115169.60452000002</c:v>
                </c:pt>
                <c:pt idx="4">
                  <c:v>114020.63936000003</c:v>
                </c:pt>
                <c:pt idx="5">
                  <c:v>112871.67420000004</c:v>
                </c:pt>
                <c:pt idx="6">
                  <c:v>111722.70904000005</c:v>
                </c:pt>
                <c:pt idx="7">
                  <c:v>110573.74388000005</c:v>
                </c:pt>
                <c:pt idx="8">
                  <c:v>109424.77872000006</c:v>
                </c:pt>
                <c:pt idx="9">
                  <c:v>108275.81356000007</c:v>
                </c:pt>
                <c:pt idx="10">
                  <c:v>107126.84840000008</c:v>
                </c:pt>
                <c:pt idx="11">
                  <c:v>105977.88324000008</c:v>
                </c:pt>
                <c:pt idx="12">
                  <c:v>105977.88324000008</c:v>
                </c:pt>
              </c:numCache>
            </c:numRef>
          </c:val>
        </c:ser>
        <c:ser>
          <c:idx val="1"/>
          <c:order val="1"/>
          <c:tx>
            <c:strRef>
              <c:f>CashFlow!$A$6</c:f>
              <c:strCache>
                <c:ptCount val="1"/>
                <c:pt idx="0">
                  <c:v>CASH RECEIPTS</c:v>
                </c:pt>
              </c:strCache>
            </c:strRef>
          </c:tx>
          <c:invertIfNegative val="0"/>
          <c:cat>
            <c:strRef>
              <c:f>CashFlow!$B$4:$O$4</c:f>
              <c:strCache>
                <c:ptCount val="13"/>
                <c:pt idx="0">
                  <c:v>Jan-13</c:v>
                </c:pt>
                <c:pt idx="1">
                  <c:v>Feb-13</c:v>
                </c:pt>
                <c:pt idx="2">
                  <c:v>Mar-13</c:v>
                </c:pt>
                <c:pt idx="3">
                  <c:v>Apr-13</c:v>
                </c:pt>
                <c:pt idx="4">
                  <c:v>May-13</c:v>
                </c:pt>
                <c:pt idx="5">
                  <c:v>Jun-13</c:v>
                </c:pt>
                <c:pt idx="6">
                  <c:v>Jul-13</c:v>
                </c:pt>
                <c:pt idx="7">
                  <c:v>Aug-13</c:v>
                </c:pt>
                <c:pt idx="8">
                  <c:v>Sep-13</c:v>
                </c:pt>
                <c:pt idx="9">
                  <c:v>Oct-13</c:v>
                </c:pt>
                <c:pt idx="10">
                  <c:v>Nov-13</c:v>
                </c:pt>
                <c:pt idx="11">
                  <c:v>Dec-13</c:v>
                </c:pt>
                <c:pt idx="12">
                  <c:v>Total Item EST</c:v>
                </c:pt>
              </c:strCache>
            </c:strRef>
          </c:cat>
          <c:val>
            <c:numRef>
              <c:f>CashFlow!$B$6:$O$6</c:f>
              <c:numCache>
                <c:formatCode>General</c:formatCode>
                <c:ptCount val="13"/>
                <c:pt idx="0">
                  <c:v>3445</c:v>
                </c:pt>
                <c:pt idx="1">
                  <c:v>3445</c:v>
                </c:pt>
                <c:pt idx="2">
                  <c:v>3445</c:v>
                </c:pt>
                <c:pt idx="3">
                  <c:v>3445</c:v>
                </c:pt>
                <c:pt idx="4">
                  <c:v>3445</c:v>
                </c:pt>
                <c:pt idx="5">
                  <c:v>3445</c:v>
                </c:pt>
                <c:pt idx="6">
                  <c:v>3445</c:v>
                </c:pt>
                <c:pt idx="7">
                  <c:v>3445</c:v>
                </c:pt>
                <c:pt idx="8">
                  <c:v>3445</c:v>
                </c:pt>
                <c:pt idx="9">
                  <c:v>3445</c:v>
                </c:pt>
                <c:pt idx="10">
                  <c:v>3445</c:v>
                </c:pt>
                <c:pt idx="11">
                  <c:v>3445</c:v>
                </c:pt>
                <c:pt idx="12" formatCode="#,##0">
                  <c:v>41340</c:v>
                </c:pt>
              </c:numCache>
            </c:numRef>
          </c:val>
        </c:ser>
        <c:ser>
          <c:idx val="2"/>
          <c:order val="2"/>
          <c:tx>
            <c:strRef>
              <c:f>CashFlow!$A$7</c:f>
              <c:strCache>
                <c:ptCount val="1"/>
                <c:pt idx="0">
                  <c:v>Cash Sales</c:v>
                </c:pt>
              </c:strCache>
            </c:strRef>
          </c:tx>
          <c:invertIfNegative val="0"/>
          <c:cat>
            <c:strRef>
              <c:f>CashFlow!$B$4:$O$4</c:f>
              <c:strCache>
                <c:ptCount val="13"/>
                <c:pt idx="0">
                  <c:v>Jan-13</c:v>
                </c:pt>
                <c:pt idx="1">
                  <c:v>Feb-13</c:v>
                </c:pt>
                <c:pt idx="2">
                  <c:v>Mar-13</c:v>
                </c:pt>
                <c:pt idx="3">
                  <c:v>Apr-13</c:v>
                </c:pt>
                <c:pt idx="4">
                  <c:v>May-13</c:v>
                </c:pt>
                <c:pt idx="5">
                  <c:v>Jun-13</c:v>
                </c:pt>
                <c:pt idx="6">
                  <c:v>Jul-13</c:v>
                </c:pt>
                <c:pt idx="7">
                  <c:v>Aug-13</c:v>
                </c:pt>
                <c:pt idx="8">
                  <c:v>Sep-13</c:v>
                </c:pt>
                <c:pt idx="9">
                  <c:v>Oct-13</c:v>
                </c:pt>
                <c:pt idx="10">
                  <c:v>Nov-13</c:v>
                </c:pt>
                <c:pt idx="11">
                  <c:v>Dec-13</c:v>
                </c:pt>
                <c:pt idx="12">
                  <c:v>Total Item EST</c:v>
                </c:pt>
              </c:strCache>
            </c:strRef>
          </c:cat>
          <c:val>
            <c:numRef>
              <c:f>CashFlow!$B$7:$O$7</c:f>
              <c:numCache>
                <c:formatCode>#,##0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120000</c:v>
                </c:pt>
              </c:numCache>
            </c:numRef>
          </c:val>
        </c:ser>
        <c:ser>
          <c:idx val="3"/>
          <c:order val="3"/>
          <c:tx>
            <c:strRef>
              <c:f>CashFlow!$A$8</c:f>
              <c:strCache>
                <c:ptCount val="1"/>
                <c:pt idx="0">
                  <c:v>Collections fm CR accounts</c:v>
                </c:pt>
              </c:strCache>
            </c:strRef>
          </c:tx>
          <c:invertIfNegative val="0"/>
          <c:cat>
            <c:strRef>
              <c:f>CashFlow!$B$4:$O$4</c:f>
              <c:strCache>
                <c:ptCount val="13"/>
                <c:pt idx="0">
                  <c:v>Jan-13</c:v>
                </c:pt>
                <c:pt idx="1">
                  <c:v>Feb-13</c:v>
                </c:pt>
                <c:pt idx="2">
                  <c:v>Mar-13</c:v>
                </c:pt>
                <c:pt idx="3">
                  <c:v>Apr-13</c:v>
                </c:pt>
                <c:pt idx="4">
                  <c:v>May-13</c:v>
                </c:pt>
                <c:pt idx="5">
                  <c:v>Jun-13</c:v>
                </c:pt>
                <c:pt idx="6">
                  <c:v>Jul-13</c:v>
                </c:pt>
                <c:pt idx="7">
                  <c:v>Aug-13</c:v>
                </c:pt>
                <c:pt idx="8">
                  <c:v>Sep-13</c:v>
                </c:pt>
                <c:pt idx="9">
                  <c:v>Oct-13</c:v>
                </c:pt>
                <c:pt idx="10">
                  <c:v>Nov-13</c:v>
                </c:pt>
                <c:pt idx="11">
                  <c:v>Dec-13</c:v>
                </c:pt>
                <c:pt idx="12">
                  <c:v>Total Item EST</c:v>
                </c:pt>
              </c:strCache>
            </c:strRef>
          </c:cat>
          <c:val>
            <c:numRef>
              <c:f>CashFlow!$B$8:$O$8</c:f>
              <c:numCache>
                <c:formatCode>#,##0</c:formatCode>
                <c:ptCount val="13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6000</c:v>
                </c:pt>
              </c:numCache>
            </c:numRef>
          </c:val>
        </c:ser>
        <c:ser>
          <c:idx val="4"/>
          <c:order val="4"/>
          <c:tx>
            <c:strRef>
              <c:f>CashFlow!$A$9</c:f>
              <c:strCache>
                <c:ptCount val="1"/>
                <c:pt idx="0">
                  <c:v>Loan/ other cash inj.</c:v>
                </c:pt>
              </c:strCache>
            </c:strRef>
          </c:tx>
          <c:invertIfNegative val="0"/>
          <c:cat>
            <c:strRef>
              <c:f>CashFlow!$B$4:$O$4</c:f>
              <c:strCache>
                <c:ptCount val="13"/>
                <c:pt idx="0">
                  <c:v>Jan-13</c:v>
                </c:pt>
                <c:pt idx="1">
                  <c:v>Feb-13</c:v>
                </c:pt>
                <c:pt idx="2">
                  <c:v>Mar-13</c:v>
                </c:pt>
                <c:pt idx="3">
                  <c:v>Apr-13</c:v>
                </c:pt>
                <c:pt idx="4">
                  <c:v>May-13</c:v>
                </c:pt>
                <c:pt idx="5">
                  <c:v>Jun-13</c:v>
                </c:pt>
                <c:pt idx="6">
                  <c:v>Jul-13</c:v>
                </c:pt>
                <c:pt idx="7">
                  <c:v>Aug-13</c:v>
                </c:pt>
                <c:pt idx="8">
                  <c:v>Sep-13</c:v>
                </c:pt>
                <c:pt idx="9">
                  <c:v>Oct-13</c:v>
                </c:pt>
                <c:pt idx="10">
                  <c:v>Nov-13</c:v>
                </c:pt>
                <c:pt idx="11">
                  <c:v>Dec-13</c:v>
                </c:pt>
                <c:pt idx="12">
                  <c:v>Total Item EST</c:v>
                </c:pt>
              </c:strCache>
            </c:strRef>
          </c:cat>
          <c:val>
            <c:numRef>
              <c:f>CashFlow!$B$9:$O$9</c:f>
              <c:numCache>
                <c:formatCode>General</c:formatCode>
                <c:ptCount val="13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 formatCode="#,##0">
                  <c:v>8400</c:v>
                </c:pt>
              </c:numCache>
            </c:numRef>
          </c:val>
        </c:ser>
        <c:ser>
          <c:idx val="5"/>
          <c:order val="5"/>
          <c:tx>
            <c:strRef>
              <c:f>CashFlow!$A$10</c:f>
              <c:strCache>
                <c:ptCount val="1"/>
                <c:pt idx="0">
                  <c:v>TOTAL CASH RECEIPTS</c:v>
                </c:pt>
              </c:strCache>
            </c:strRef>
          </c:tx>
          <c:invertIfNegative val="0"/>
          <c:cat>
            <c:strRef>
              <c:f>CashFlow!$B$4:$O$4</c:f>
              <c:strCache>
                <c:ptCount val="13"/>
                <c:pt idx="0">
                  <c:v>Jan-13</c:v>
                </c:pt>
                <c:pt idx="1">
                  <c:v>Feb-13</c:v>
                </c:pt>
                <c:pt idx="2">
                  <c:v>Mar-13</c:v>
                </c:pt>
                <c:pt idx="3">
                  <c:v>Apr-13</c:v>
                </c:pt>
                <c:pt idx="4">
                  <c:v>May-13</c:v>
                </c:pt>
                <c:pt idx="5">
                  <c:v>Jun-13</c:v>
                </c:pt>
                <c:pt idx="6">
                  <c:v>Jul-13</c:v>
                </c:pt>
                <c:pt idx="7">
                  <c:v>Aug-13</c:v>
                </c:pt>
                <c:pt idx="8">
                  <c:v>Sep-13</c:v>
                </c:pt>
                <c:pt idx="9">
                  <c:v>Oct-13</c:v>
                </c:pt>
                <c:pt idx="10">
                  <c:v>Nov-13</c:v>
                </c:pt>
                <c:pt idx="11">
                  <c:v>Dec-13</c:v>
                </c:pt>
                <c:pt idx="12">
                  <c:v>Total Item EST</c:v>
                </c:pt>
              </c:strCache>
            </c:strRef>
          </c:cat>
          <c:val>
            <c:numRef>
              <c:f>CashFlow!$B$10:$O$10</c:f>
              <c:numCache>
                <c:formatCode>#,##0</c:formatCode>
                <c:ptCount val="13"/>
                <c:pt idx="0">
                  <c:v>11200</c:v>
                </c:pt>
                <c:pt idx="1">
                  <c:v>11200</c:v>
                </c:pt>
                <c:pt idx="2">
                  <c:v>11200</c:v>
                </c:pt>
                <c:pt idx="3">
                  <c:v>11200</c:v>
                </c:pt>
                <c:pt idx="4">
                  <c:v>11200</c:v>
                </c:pt>
                <c:pt idx="5">
                  <c:v>11200</c:v>
                </c:pt>
                <c:pt idx="6">
                  <c:v>11200</c:v>
                </c:pt>
                <c:pt idx="7">
                  <c:v>11200</c:v>
                </c:pt>
                <c:pt idx="8">
                  <c:v>11200</c:v>
                </c:pt>
                <c:pt idx="9">
                  <c:v>11200</c:v>
                </c:pt>
                <c:pt idx="10">
                  <c:v>11200</c:v>
                </c:pt>
                <c:pt idx="11">
                  <c:v>11200</c:v>
                </c:pt>
                <c:pt idx="12">
                  <c:v>134400</c:v>
                </c:pt>
              </c:numCache>
            </c:numRef>
          </c:val>
        </c:ser>
        <c:ser>
          <c:idx val="6"/>
          <c:order val="6"/>
          <c:tx>
            <c:strRef>
              <c:f>CashFlow!$A$11</c:f>
              <c:strCache>
                <c:ptCount val="1"/>
                <c:pt idx="0">
                  <c:v>Total Cash Available (before cash out)</c:v>
                </c:pt>
              </c:strCache>
            </c:strRef>
          </c:tx>
          <c:invertIfNegative val="0"/>
          <c:cat>
            <c:strRef>
              <c:f>CashFlow!$B$4:$O$4</c:f>
              <c:strCache>
                <c:ptCount val="13"/>
                <c:pt idx="0">
                  <c:v>Jan-13</c:v>
                </c:pt>
                <c:pt idx="1">
                  <c:v>Feb-13</c:v>
                </c:pt>
                <c:pt idx="2">
                  <c:v>Mar-13</c:v>
                </c:pt>
                <c:pt idx="3">
                  <c:v>Apr-13</c:v>
                </c:pt>
                <c:pt idx="4">
                  <c:v>May-13</c:v>
                </c:pt>
                <c:pt idx="5">
                  <c:v>Jun-13</c:v>
                </c:pt>
                <c:pt idx="6">
                  <c:v>Jul-13</c:v>
                </c:pt>
                <c:pt idx="7">
                  <c:v>Aug-13</c:v>
                </c:pt>
                <c:pt idx="8">
                  <c:v>Sep-13</c:v>
                </c:pt>
                <c:pt idx="9">
                  <c:v>Oct-13</c:v>
                </c:pt>
                <c:pt idx="10">
                  <c:v>Nov-13</c:v>
                </c:pt>
                <c:pt idx="11">
                  <c:v>Dec-13</c:v>
                </c:pt>
                <c:pt idx="12">
                  <c:v>Total Item EST</c:v>
                </c:pt>
              </c:strCache>
            </c:strRef>
          </c:cat>
          <c:val>
            <c:numRef>
              <c:f>CashFlow!$B$11:$O$11</c:f>
              <c:numCache>
                <c:formatCode>#,##0</c:formatCode>
                <c:ptCount val="13"/>
                <c:pt idx="0">
                  <c:v>129816.5</c:v>
                </c:pt>
                <c:pt idx="1">
                  <c:v>128667.53484000001</c:v>
                </c:pt>
                <c:pt idx="2">
                  <c:v>127518.56968000002</c:v>
                </c:pt>
                <c:pt idx="3">
                  <c:v>126369.60452000002</c:v>
                </c:pt>
                <c:pt idx="4">
                  <c:v>125220.63936000003</c:v>
                </c:pt>
                <c:pt idx="5">
                  <c:v>124071.67420000004</c:v>
                </c:pt>
                <c:pt idx="6">
                  <c:v>122922.70904000005</c:v>
                </c:pt>
                <c:pt idx="7">
                  <c:v>121773.74388000005</c:v>
                </c:pt>
                <c:pt idx="8">
                  <c:v>120624.77872000006</c:v>
                </c:pt>
                <c:pt idx="9">
                  <c:v>119475.81356000007</c:v>
                </c:pt>
                <c:pt idx="10">
                  <c:v>118326.84840000008</c:v>
                </c:pt>
                <c:pt idx="11">
                  <c:v>117177.88324000008</c:v>
                </c:pt>
                <c:pt idx="12">
                  <c:v>240377.88324000008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571904"/>
        <c:axId val="176573440"/>
      </c:barChart>
      <c:catAx>
        <c:axId val="1765719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6573440"/>
        <c:crosses val="autoZero"/>
        <c:auto val="1"/>
        <c:lblAlgn val="ctr"/>
        <c:lblOffset val="100"/>
        <c:noMultiLvlLbl val="0"/>
      </c:catAx>
      <c:valAx>
        <c:axId val="176573440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crossAx val="176571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2"/>
    </a:solidFill>
    <a:ln w="25400" cap="flat" cmpd="sng" algn="ctr">
      <a:solidFill>
        <a:schemeClr val="accent2">
          <a:shade val="50000"/>
        </a:schemeClr>
      </a:solidFill>
      <a:prstDash val="solid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solidFill>
          <a:schemeClr val="accent2"/>
        </a:solidFill>
        <a:ln w="25400" cap="flat" cmpd="sng" algn="ctr">
          <a:solidFill>
            <a:schemeClr val="accent2">
              <a:shade val="50000"/>
            </a:schemeClr>
          </a:solidFill>
          <a:prstDash val="solid"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CashFlow!$A$35</c:f>
              <c:strCache>
                <c:ptCount val="1"/>
                <c:pt idx="0">
                  <c:v>Cash Position (end of month)</c:v>
                </c:pt>
              </c:strCache>
            </c:strRef>
          </c:tx>
          <c:val>
            <c:numRef>
              <c:f>CashFlow!$B$35:$N$35</c:f>
              <c:numCache>
                <c:formatCode>#,##0</c:formatCode>
                <c:ptCount val="12"/>
                <c:pt idx="0">
                  <c:v>117467.53484000001</c:v>
                </c:pt>
                <c:pt idx="1">
                  <c:v>116318.56968000002</c:v>
                </c:pt>
                <c:pt idx="2">
                  <c:v>115169.60452000002</c:v>
                </c:pt>
                <c:pt idx="3">
                  <c:v>114020.63936000003</c:v>
                </c:pt>
                <c:pt idx="4">
                  <c:v>112871.67420000004</c:v>
                </c:pt>
                <c:pt idx="5">
                  <c:v>111722.70904000005</c:v>
                </c:pt>
                <c:pt idx="6">
                  <c:v>110573.74388000005</c:v>
                </c:pt>
                <c:pt idx="7">
                  <c:v>109424.77872000006</c:v>
                </c:pt>
                <c:pt idx="8">
                  <c:v>108275.81356000007</c:v>
                </c:pt>
                <c:pt idx="9">
                  <c:v>107126.84840000008</c:v>
                </c:pt>
                <c:pt idx="10">
                  <c:v>105977.88324000008</c:v>
                </c:pt>
                <c:pt idx="11">
                  <c:v>104828.91808000009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98016"/>
        <c:axId val="176608000"/>
      </c:lineChart>
      <c:catAx>
        <c:axId val="176598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6608000"/>
        <c:crosses val="autoZero"/>
        <c:auto val="1"/>
        <c:lblAlgn val="ctr"/>
        <c:lblOffset val="100"/>
        <c:noMultiLvlLbl val="0"/>
      </c:catAx>
      <c:valAx>
        <c:axId val="1766080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76598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2"/>
    </a:solidFill>
    <a:ln w="25400" cap="flat" cmpd="sng" algn="ctr">
      <a:solidFill>
        <a:schemeClr val="accent2">
          <a:shade val="50000"/>
        </a:schemeClr>
      </a:solidFill>
      <a:prstDash val="solid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$Q$14" fmlaRange="Sheet2!$A$2:$A$4" noThreeD="1" val="0"/>
</file>

<file path=xl/ctrlProps/ctrlProp2.xml><?xml version="1.0" encoding="utf-8"?>
<formControlPr xmlns="http://schemas.microsoft.com/office/spreadsheetml/2009/9/main" objectType="Drop" dropStyle="combo" dx="16" fmlaLink="$Q$22" fmlaRange="Sheet2!$B$2:$B$4" noThreeD="1" sel="3" val="0"/>
</file>

<file path=xl/ctrlProps/ctrlProp3.xml><?xml version="1.0" encoding="utf-8"?>
<formControlPr xmlns="http://schemas.microsoft.com/office/spreadsheetml/2009/9/main" objectType="Drop" dropStyle="combo" dx="16" fmlaLink="$Q$23" fmlaRange="Sheet2!$C$2:$C$7" noThreeD="1" sel="2" val="0"/>
</file>

<file path=xl/ctrlProps/ctrlProp4.xml><?xml version="1.0" encoding="utf-8"?>
<formControlPr xmlns="http://schemas.microsoft.com/office/spreadsheetml/2009/9/main" objectType="Drop" dropStyle="combo" dx="16" fmlaLink="$F$5" fmlaRange="Menu!$B$4:$B$16" noThreeD="1" val="0"/>
</file>

<file path=xl/ctrlProps/ctrlProp5.xml><?xml version="1.0" encoding="utf-8"?>
<formControlPr xmlns="http://schemas.microsoft.com/office/spreadsheetml/2009/9/main" objectType="Drop" dropStyle="combo" dx="16" fmlaLink="$F$6" fmlaRange="Menu!$B$4:$B$16" noThreeD="1" sel="5" val="0"/>
</file>

<file path=xl/ctrlProps/ctrlProp6.xml><?xml version="1.0" encoding="utf-8"?>
<formControlPr xmlns="http://schemas.microsoft.com/office/spreadsheetml/2009/9/main" objectType="Drop" dropStyle="combo" dx="16" fmlaLink="$F$9" fmlaRange="Menu!$D$4:$D$16" noThreeD="1" val="0"/>
</file>

<file path=xl/ctrlProps/ctrlProp7.xml><?xml version="1.0" encoding="utf-8"?>
<formControlPr xmlns="http://schemas.microsoft.com/office/spreadsheetml/2009/9/main" objectType="Drop" dropStyle="combo" dx="16" fmlaLink="$F$10" fmlaRange="Menu!$D$4:$D$16" noThreeD="1" val="0"/>
</file>

<file path=xl/ctrlProps/ctrlProp8.xml><?xml version="1.0" encoding="utf-8"?>
<formControlPr xmlns="http://schemas.microsoft.com/office/spreadsheetml/2009/9/main" objectType="Drop" dropStyle="combo" dx="16" fmlaLink="$F$11" fmlaRange="Menu!$D$4:$D$16" noThreeD="1" val="0"/>
</file>

<file path=xl/ctrlProps/ctrlProp9.xml><?xml version="1.0" encoding="utf-8"?>
<formControlPr xmlns="http://schemas.microsoft.com/office/spreadsheetml/2009/9/main" objectType="Drop" dropStyle="combo" dx="16" fmlaLink="$F$14" fmlaRange="Menu!$F$4:$F$12" noThreeD="1" val="0"/>
</file>

<file path=xl/ctrlProps/ctrlProp10.xml><?xml version="1.0" encoding="utf-8"?>
<formControlPr xmlns="http://schemas.microsoft.com/office/spreadsheetml/2009/9/main" objectType="Drop" dropStyle="combo" dx="16" fmlaLink="$F$15" fmlaRange="Menu!$F$4:$F$12" noThreeD="1" val="0"/>
</file>

<file path=xl/ctrlProps/ctrlProp11.xml><?xml version="1.0" encoding="utf-8"?>
<formControlPr xmlns="http://schemas.microsoft.com/office/spreadsheetml/2009/9/main" objectType="Drop" dropStyle="combo" dx="16" fmlaLink="$F$16" fmlaRange="Menu!$F$4:$F$12" noThreeD="1" val="0"/>
</file>

<file path=xl/ctrlProps/ctrlProp12.xml><?xml version="1.0" encoding="utf-8"?>
<formControlPr xmlns="http://schemas.microsoft.com/office/spreadsheetml/2009/9/main" objectType="Drop" dropStyle="combo" dx="16" fmlaLink="$F$19" fmlaRange="Menu!$H$4:$H$12" noThreeD="1" val="0"/>
</file>

<file path=xl/ctrlProps/ctrlProp13.xml><?xml version="1.0" encoding="utf-8"?>
<formControlPr xmlns="http://schemas.microsoft.com/office/spreadsheetml/2009/9/main" objectType="Drop" dropStyle="combo" dx="16" fmlaLink="$F$20" fmlaRange="Menu!$H$4:$H$12" noThreeD="1" val="0"/>
</file>

<file path=xl/ctrlProps/ctrlProp14.xml><?xml version="1.0" encoding="utf-8"?>
<formControlPr xmlns="http://schemas.microsoft.com/office/spreadsheetml/2009/9/main" objectType="Drop" dropStyle="combo" dx="16" fmlaLink="$Q$6" fmlaRange="Sheet5!$A$3:$A$5" noThreeD="1" val="0"/>
</file>

<file path=xl/ctrlProps/ctrlProp15.xml><?xml version="1.0" encoding="utf-8"?>
<formControlPr xmlns="http://schemas.microsoft.com/office/spreadsheetml/2009/9/main" objectType="Drop" dropStyle="combo" dx="16" fmlaLink="$Q$9" fmlaRange="Sheet5!$B$3:$B$4" noThreeD="1" val="0"/>
</file>

<file path=xl/ctrlProps/ctrlProp16.xml><?xml version="1.0" encoding="utf-8"?>
<formControlPr xmlns="http://schemas.microsoft.com/office/spreadsheetml/2009/9/main" objectType="Drop" dropStyle="combo" dx="16" fmlaLink="$Q$20" fmlaRange="Sheet5!$I$2:$I$5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07/relationships/hdphoto" Target="../media/hdphoto3.wdp"/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7" Type="http://schemas.microsoft.com/office/2007/relationships/hdphoto" Target="../media/hdphoto1.wdp"/><Relationship Id="rId2" Type="http://schemas.openxmlformats.org/officeDocument/2006/relationships/image" Target="../media/image7.jpeg"/><Relationship Id="rId1" Type="http://schemas.openxmlformats.org/officeDocument/2006/relationships/image" Target="../media/image6.jpeg"/><Relationship Id="rId6" Type="http://schemas.openxmlformats.org/officeDocument/2006/relationships/image" Target="../media/image3.png"/><Relationship Id="rId5" Type="http://schemas.openxmlformats.org/officeDocument/2006/relationships/image" Target="../media/image10.jpeg"/><Relationship Id="rId4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585105</xdr:colOff>
      <xdr:row>12</xdr:row>
      <xdr:rowOff>123825</xdr:rowOff>
    </xdr:from>
    <xdr:to>
      <xdr:col>4</xdr:col>
      <xdr:colOff>38100</xdr:colOff>
      <xdr:row>15</xdr:row>
      <xdr:rowOff>76200</xdr:rowOff>
    </xdr:to>
    <xdr:sp macro="[0]!LinkToOrder" textlink="">
      <xdr:nvSpPr>
        <xdr:cNvPr id="2" name="Rounded Rectangle 1"/>
        <xdr:cNvSpPr/>
      </xdr:nvSpPr>
      <xdr:spPr>
        <a:xfrm>
          <a:off x="1194705" y="2409825"/>
          <a:ext cx="1281795" cy="523875"/>
        </a:xfrm>
        <a:prstGeom prst="round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Eat</a:t>
          </a:r>
          <a:r>
            <a:rPr lang="en-GB" sz="320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 Here</a:t>
          </a:r>
          <a:endParaRPr lang="en-GB" sz="320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>
    <xdr:from>
      <xdr:col>4</xdr:col>
      <xdr:colOff>68037</xdr:colOff>
      <xdr:row>12</xdr:row>
      <xdr:rowOff>133350</xdr:rowOff>
    </xdr:from>
    <xdr:to>
      <xdr:col>6</xdr:col>
      <xdr:colOff>9525</xdr:colOff>
      <xdr:row>15</xdr:row>
      <xdr:rowOff>95250</xdr:rowOff>
    </xdr:to>
    <xdr:sp macro="[0]!LinkToBookingSystem" textlink="">
      <xdr:nvSpPr>
        <xdr:cNvPr id="9" name="Rounded Rectangle 8"/>
        <xdr:cNvSpPr/>
      </xdr:nvSpPr>
      <xdr:spPr>
        <a:xfrm>
          <a:off x="2506437" y="2419350"/>
          <a:ext cx="1065438" cy="533400"/>
        </a:xfrm>
        <a:prstGeom prst="round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Booking</a:t>
          </a:r>
          <a:endParaRPr lang="en-GB" sz="280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>
    <xdr:from>
      <xdr:col>6</xdr:col>
      <xdr:colOff>32653</xdr:colOff>
      <xdr:row>12</xdr:row>
      <xdr:rowOff>133349</xdr:rowOff>
    </xdr:from>
    <xdr:to>
      <xdr:col>8</xdr:col>
      <xdr:colOff>257174</xdr:colOff>
      <xdr:row>15</xdr:row>
      <xdr:rowOff>95250</xdr:rowOff>
    </xdr:to>
    <xdr:sp macro="[0]!StaffData" textlink="">
      <xdr:nvSpPr>
        <xdr:cNvPr id="5" name="Rounded Rectangle 4"/>
        <xdr:cNvSpPr/>
      </xdr:nvSpPr>
      <xdr:spPr>
        <a:xfrm>
          <a:off x="3595003" y="2419349"/>
          <a:ext cx="1443721" cy="533401"/>
        </a:xfrm>
        <a:prstGeom prst="roundRect">
          <a:avLst/>
        </a:prstGeom>
        <a:noFill/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200" b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Staff</a:t>
          </a:r>
          <a:r>
            <a:rPr lang="en-GB" sz="3200" b="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 Data</a:t>
          </a:r>
          <a:endParaRPr lang="en-GB" sz="3200" b="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>
    <xdr:from>
      <xdr:col>8</xdr:col>
      <xdr:colOff>287107</xdr:colOff>
      <xdr:row>12</xdr:row>
      <xdr:rowOff>133350</xdr:rowOff>
    </xdr:from>
    <xdr:to>
      <xdr:col>9</xdr:col>
      <xdr:colOff>409574</xdr:colOff>
      <xdr:row>15</xdr:row>
      <xdr:rowOff>95250</xdr:rowOff>
    </xdr:to>
    <xdr:sp macro="[0]!_xludf.Quit" textlink="">
      <xdr:nvSpPr>
        <xdr:cNvPr id="6" name="Rounded Rectangle 5"/>
        <xdr:cNvSpPr/>
      </xdr:nvSpPr>
      <xdr:spPr>
        <a:xfrm>
          <a:off x="5068657" y="2419350"/>
          <a:ext cx="732067" cy="533400"/>
        </a:xfrm>
        <a:prstGeom prst="round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Quit</a:t>
          </a:r>
        </a:p>
      </xdr:txBody>
    </xdr:sp>
    <xdr:clientData/>
  </xdr:twoCellAnchor>
  <xdr:twoCellAnchor>
    <xdr:from>
      <xdr:col>9</xdr:col>
      <xdr:colOff>432705</xdr:colOff>
      <xdr:row>12</xdr:row>
      <xdr:rowOff>133349</xdr:rowOff>
    </xdr:from>
    <xdr:to>
      <xdr:col>13</xdr:col>
      <xdr:colOff>485775</xdr:colOff>
      <xdr:row>15</xdr:row>
      <xdr:rowOff>95250</xdr:rowOff>
    </xdr:to>
    <xdr:sp macro="[0]!LinktoCustomerSearch" textlink="">
      <xdr:nvSpPr>
        <xdr:cNvPr id="10" name="Rounded Rectangle 9"/>
        <xdr:cNvSpPr/>
      </xdr:nvSpPr>
      <xdr:spPr>
        <a:xfrm>
          <a:off x="5823855" y="2419349"/>
          <a:ext cx="2291445" cy="533401"/>
        </a:xfrm>
        <a:prstGeom prst="round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00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Customer</a:t>
          </a:r>
          <a:r>
            <a:rPr lang="en-GB" sz="320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 Search </a:t>
          </a:r>
          <a:endParaRPr lang="en-GB" sz="320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>
    <xdr:from>
      <xdr:col>13</xdr:col>
      <xdr:colOff>496659</xdr:colOff>
      <xdr:row>12</xdr:row>
      <xdr:rowOff>133350</xdr:rowOff>
    </xdr:from>
    <xdr:to>
      <xdr:col>16</xdr:col>
      <xdr:colOff>392906</xdr:colOff>
      <xdr:row>15</xdr:row>
      <xdr:rowOff>85725</xdr:rowOff>
    </xdr:to>
    <xdr:sp macro="[0]!LinkToStaffSearch" textlink="">
      <xdr:nvSpPr>
        <xdr:cNvPr id="11" name="Rounded Rectangle 10"/>
        <xdr:cNvSpPr/>
      </xdr:nvSpPr>
      <xdr:spPr>
        <a:xfrm>
          <a:off x="8092847" y="2419350"/>
          <a:ext cx="1717903" cy="523875"/>
        </a:xfrm>
        <a:prstGeom prst="round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Staff</a:t>
          </a:r>
          <a:r>
            <a:rPr lang="en-GB" sz="320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 Search</a:t>
          </a:r>
          <a:endParaRPr lang="en-GB" sz="320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 editAs="oneCell">
    <xdr:from>
      <xdr:col>2</xdr:col>
      <xdr:colOff>263034</xdr:colOff>
      <xdr:row>2</xdr:row>
      <xdr:rowOff>3489</xdr:rowOff>
    </xdr:from>
    <xdr:to>
      <xdr:col>5</xdr:col>
      <xdr:colOff>415717</xdr:colOff>
      <xdr:row>10</xdr:row>
      <xdr:rowOff>86913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019480">
          <a:off x="1482234" y="384489"/>
          <a:ext cx="1981483" cy="1607424"/>
        </a:xfrm>
        <a:prstGeom prst="rect">
          <a:avLst/>
        </a:prstGeom>
      </xdr:spPr>
    </xdr:pic>
    <xdr:clientData/>
  </xdr:twoCellAnchor>
  <xdr:twoCellAnchor editAs="oneCell">
    <xdr:from>
      <xdr:col>13</xdr:col>
      <xdr:colOff>186834</xdr:colOff>
      <xdr:row>2</xdr:row>
      <xdr:rowOff>12958</xdr:rowOff>
    </xdr:from>
    <xdr:to>
      <xdr:col>16</xdr:col>
      <xdr:colOff>339517</xdr:colOff>
      <xdr:row>10</xdr:row>
      <xdr:rowOff>96382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775652">
          <a:off x="7816359" y="393958"/>
          <a:ext cx="1981483" cy="1607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738188</xdr:colOff>
      <xdr:row>3</xdr:row>
      <xdr:rowOff>133350</xdr:rowOff>
    </xdr:to>
    <xdr:pic macro="[0]!Homepag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38188" cy="590550"/>
        </a:xfrm>
        <a:prstGeom prst="rect">
          <a:avLst/>
        </a:prstGeom>
      </xdr:spPr>
    </xdr:pic>
    <xdr:clientData/>
  </xdr:twoCellAnchor>
  <xdr:twoCellAnchor>
    <xdr:from>
      <xdr:col>0</xdr:col>
      <xdr:colOff>28575</xdr:colOff>
      <xdr:row>15</xdr:row>
      <xdr:rowOff>114300</xdr:rowOff>
    </xdr:from>
    <xdr:to>
      <xdr:col>0</xdr:col>
      <xdr:colOff>685800</xdr:colOff>
      <xdr:row>16</xdr:row>
      <xdr:rowOff>152400</xdr:rowOff>
    </xdr:to>
    <xdr:sp macro="[0]!RefreshsearchCus" textlink="">
      <xdr:nvSpPr>
        <xdr:cNvPr id="3" name="Rectangle 2"/>
        <xdr:cNvSpPr/>
      </xdr:nvSpPr>
      <xdr:spPr>
        <a:xfrm>
          <a:off x="28575" y="2857500"/>
          <a:ext cx="657225" cy="2286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738188</xdr:colOff>
      <xdr:row>3</xdr:row>
      <xdr:rowOff>142875</xdr:rowOff>
    </xdr:to>
    <xdr:pic macro="[0]!Homepag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38188" cy="590550"/>
        </a:xfrm>
        <a:prstGeom prst="rect">
          <a:avLst/>
        </a:prstGeom>
      </xdr:spPr>
    </xdr:pic>
    <xdr:clientData/>
  </xdr:twoCellAnchor>
  <xdr:twoCellAnchor>
    <xdr:from>
      <xdr:col>0</xdr:col>
      <xdr:colOff>57150</xdr:colOff>
      <xdr:row>15</xdr:row>
      <xdr:rowOff>66676</xdr:rowOff>
    </xdr:from>
    <xdr:to>
      <xdr:col>0</xdr:col>
      <xdr:colOff>714375</xdr:colOff>
      <xdr:row>16</xdr:row>
      <xdr:rowOff>104776</xdr:rowOff>
    </xdr:to>
    <xdr:sp macro="[0]!Refresh_staffSearch" textlink="">
      <xdr:nvSpPr>
        <xdr:cNvPr id="3" name="Rectangle 2"/>
        <xdr:cNvSpPr/>
      </xdr:nvSpPr>
      <xdr:spPr>
        <a:xfrm>
          <a:off x="57150" y="2809876"/>
          <a:ext cx="657225" cy="2286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Refresh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</xdr:col>
      <xdr:colOff>1192062</xdr:colOff>
      <xdr:row>7</xdr:row>
      <xdr:rowOff>142874</xdr:rowOff>
    </xdr:to>
    <xdr:pic macro="[0]!Homepag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800225" cy="14763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9525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7</xdr:col>
          <xdr:colOff>19050</xdr:colOff>
          <xdr:row>20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7</xdr:col>
          <xdr:colOff>9525</xdr:colOff>
          <xdr:row>20</xdr:row>
          <xdr:rowOff>180975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279336</xdr:colOff>
      <xdr:row>0</xdr:row>
      <xdr:rowOff>152400</xdr:rowOff>
    </xdr:from>
    <xdr:to>
      <xdr:col>14</xdr:col>
      <xdr:colOff>0</xdr:colOff>
      <xdr:row>4</xdr:row>
      <xdr:rowOff>110057</xdr:rowOff>
    </xdr:to>
    <xdr:grpSp>
      <xdr:nvGrpSpPr>
        <xdr:cNvPr id="8" name="Group 7"/>
        <xdr:cNvGrpSpPr/>
      </xdr:nvGrpSpPr>
      <xdr:grpSpPr>
        <a:xfrm flipH="1">
          <a:off x="10185336" y="152400"/>
          <a:ext cx="939864" cy="719657"/>
          <a:chOff x="9949382" y="160322"/>
          <a:chExt cx="773316" cy="712018"/>
        </a:xfrm>
      </xdr:grpSpPr>
      <xdr:sp macro="[0]!LinkToCustomerBooking" textlink="">
        <xdr:nvSpPr>
          <xdr:cNvPr id="9" name="Left Arrow 8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LinkToCustomerBooking">
        <xdr:nvPicPr>
          <xdr:cNvPr id="10" name="Picture 9"/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390525</xdr:colOff>
      <xdr:row>20</xdr:row>
      <xdr:rowOff>104775</xdr:rowOff>
    </xdr:from>
    <xdr:to>
      <xdr:col>11</xdr:col>
      <xdr:colOff>1095375</xdr:colOff>
      <xdr:row>23</xdr:row>
      <xdr:rowOff>0</xdr:rowOff>
    </xdr:to>
    <xdr:sp macro="[0]!BookingCustomer" textlink="">
      <xdr:nvSpPr>
        <xdr:cNvPr id="4" name="Rounded Rectangle 3"/>
        <xdr:cNvSpPr/>
      </xdr:nvSpPr>
      <xdr:spPr>
        <a:xfrm>
          <a:off x="7210425" y="3924300"/>
          <a:ext cx="2047875" cy="4667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Book</a:t>
          </a:r>
          <a:r>
            <a:rPr lang="en-GB" sz="360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 Customer</a:t>
          </a:r>
          <a:endParaRPr lang="en-GB" sz="360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>
    <xdr:from>
      <xdr:col>1</xdr:col>
      <xdr:colOff>1114425</xdr:colOff>
      <xdr:row>25</xdr:row>
      <xdr:rowOff>104775</xdr:rowOff>
    </xdr:from>
    <xdr:to>
      <xdr:col>3</xdr:col>
      <xdr:colOff>409575</xdr:colOff>
      <xdr:row>27</xdr:row>
      <xdr:rowOff>123825</xdr:rowOff>
    </xdr:to>
    <xdr:sp macro="[0]!RefreshBookingSystem" textlink="">
      <xdr:nvSpPr>
        <xdr:cNvPr id="5" name="Rounded Rectangle 4"/>
        <xdr:cNvSpPr/>
      </xdr:nvSpPr>
      <xdr:spPr>
        <a:xfrm>
          <a:off x="1724025" y="4886325"/>
          <a:ext cx="1247775" cy="4000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Refresh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0</xdr:row>
      <xdr:rowOff>0</xdr:rowOff>
    </xdr:from>
    <xdr:to>
      <xdr:col>11</xdr:col>
      <xdr:colOff>638175</xdr:colOff>
      <xdr:row>2</xdr:row>
      <xdr:rowOff>85725</xdr:rowOff>
    </xdr:to>
    <xdr:grpSp>
      <xdr:nvGrpSpPr>
        <xdr:cNvPr id="6" name="Group 5"/>
        <xdr:cNvGrpSpPr/>
      </xdr:nvGrpSpPr>
      <xdr:grpSpPr>
        <a:xfrm>
          <a:off x="10896600" y="0"/>
          <a:ext cx="457200" cy="485775"/>
          <a:chOff x="9949382" y="160322"/>
          <a:chExt cx="773316" cy="712018"/>
        </a:xfrm>
      </xdr:grpSpPr>
      <xdr:sp macro="[0]!LinkToBookingSystem" textlink="">
        <xdr:nvSpPr>
          <xdr:cNvPr id="7" name="Left Arrow 6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LinkToBookingSystem">
        <xdr:nvPicPr>
          <xdr:cNvPr id="8" name="Picture 7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0</xdr:rowOff>
        </xdr:from>
        <xdr:to>
          <xdr:col>6</xdr:col>
          <xdr:colOff>9525</xdr:colOff>
          <xdr:row>5</xdr:row>
          <xdr:rowOff>9525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15363" name="Drop Dow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9525</xdr:rowOff>
        </xdr:from>
        <xdr:to>
          <xdr:col>5</xdr:col>
          <xdr:colOff>0</xdr:colOff>
          <xdr:row>10</xdr:row>
          <xdr:rowOff>19050</xdr:rowOff>
        </xdr:to>
        <xdr:sp macro="" textlink="">
          <xdr:nvSpPr>
            <xdr:cNvPr id="15364" name="Drop Dow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19050</xdr:rowOff>
        </xdr:from>
        <xdr:to>
          <xdr:col>5</xdr:col>
          <xdr:colOff>0</xdr:colOff>
          <xdr:row>11</xdr:row>
          <xdr:rowOff>28575</xdr:rowOff>
        </xdr:to>
        <xdr:sp macro="" textlink="">
          <xdr:nvSpPr>
            <xdr:cNvPr id="15365" name="Drop Dow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13</xdr:row>
          <xdr:rowOff>9525</xdr:rowOff>
        </xdr:from>
        <xdr:to>
          <xdr:col>5</xdr:col>
          <xdr:colOff>0</xdr:colOff>
          <xdr:row>14</xdr:row>
          <xdr:rowOff>19050</xdr:rowOff>
        </xdr:to>
        <xdr:sp macro="" textlink="">
          <xdr:nvSpPr>
            <xdr:cNvPr id="15366" name="Drop Dow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</xdr:row>
          <xdr:rowOff>28575</xdr:rowOff>
        </xdr:from>
        <xdr:to>
          <xdr:col>5</xdr:col>
          <xdr:colOff>0</xdr:colOff>
          <xdr:row>15</xdr:row>
          <xdr:rowOff>38100</xdr:rowOff>
        </xdr:to>
        <xdr:sp macro="" textlink="">
          <xdr:nvSpPr>
            <xdr:cNvPr id="15367" name="Drop Dow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15</xdr:row>
          <xdr:rowOff>47625</xdr:rowOff>
        </xdr:from>
        <xdr:to>
          <xdr:col>5</xdr:col>
          <xdr:colOff>0</xdr:colOff>
          <xdr:row>16</xdr:row>
          <xdr:rowOff>57150</xdr:rowOff>
        </xdr:to>
        <xdr:sp macro="" textlink="">
          <xdr:nvSpPr>
            <xdr:cNvPr id="15368" name="Drop Dow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9525</xdr:rowOff>
        </xdr:from>
        <xdr:to>
          <xdr:col>5</xdr:col>
          <xdr:colOff>0</xdr:colOff>
          <xdr:row>19</xdr:row>
          <xdr:rowOff>19050</xdr:rowOff>
        </xdr:to>
        <xdr:sp macro="" textlink="">
          <xdr:nvSpPr>
            <xdr:cNvPr id="15369" name="Drop Dow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19</xdr:row>
          <xdr:rowOff>19050</xdr:rowOff>
        </xdr:from>
        <xdr:to>
          <xdr:col>5</xdr:col>
          <xdr:colOff>0</xdr:colOff>
          <xdr:row>20</xdr:row>
          <xdr:rowOff>28575</xdr:rowOff>
        </xdr:to>
        <xdr:sp macro="" textlink="">
          <xdr:nvSpPr>
            <xdr:cNvPr id="15370" name="Drop Dow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319088</xdr:colOff>
      <xdr:row>1</xdr:row>
      <xdr:rowOff>476250</xdr:rowOff>
    </xdr:to>
    <xdr:pic macro="[0]!Homepag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38188" cy="590550"/>
        </a:xfrm>
        <a:prstGeom prst="rect">
          <a:avLst/>
        </a:prstGeom>
      </xdr:spPr>
    </xdr:pic>
    <xdr:clientData/>
  </xdr:twoCellAnchor>
  <xdr:twoCellAnchor editAs="oneCell">
    <xdr:from>
      <xdr:col>8</xdr:col>
      <xdr:colOff>19049</xdr:colOff>
      <xdr:row>1</xdr:row>
      <xdr:rowOff>9524</xdr:rowOff>
    </xdr:from>
    <xdr:to>
      <xdr:col>10</xdr:col>
      <xdr:colOff>276224</xdr:colOff>
      <xdr:row>3</xdr:row>
      <xdr:rowOff>188593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5500"/>
                  </a14:imgEffect>
                  <a14:imgEffect>
                    <a14:saturation sat="130000"/>
                  </a14:imgEffect>
                  <a14:imgEffect>
                    <a14:brightnessContrast contrast="-6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6149" y="123824"/>
          <a:ext cx="1152525" cy="922019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0</xdr:row>
      <xdr:rowOff>95250</xdr:rowOff>
    </xdr:from>
    <xdr:to>
      <xdr:col>19</xdr:col>
      <xdr:colOff>19050</xdr:colOff>
      <xdr:row>1</xdr:row>
      <xdr:rowOff>476250</xdr:rowOff>
    </xdr:to>
    <xdr:sp macro="[0]!LinktoMenu" textlink="">
      <xdr:nvSpPr>
        <xdr:cNvPr id="4" name="Bevel 3"/>
        <xdr:cNvSpPr/>
      </xdr:nvSpPr>
      <xdr:spPr>
        <a:xfrm>
          <a:off x="9220200" y="95250"/>
          <a:ext cx="1104900" cy="495300"/>
        </a:xfrm>
        <a:prstGeom prst="bevel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latin typeface="Freestyle Script" pitchFamily="66" charset="0"/>
            </a:rPr>
            <a:t>MENU</a:t>
          </a:r>
        </a:p>
      </xdr:txBody>
    </xdr:sp>
    <xdr:clientData/>
  </xdr:twoCellAnchor>
  <xdr:twoCellAnchor>
    <xdr:from>
      <xdr:col>14</xdr:col>
      <xdr:colOff>581025</xdr:colOff>
      <xdr:row>16</xdr:row>
      <xdr:rowOff>28575</xdr:rowOff>
    </xdr:from>
    <xdr:to>
      <xdr:col>17</xdr:col>
      <xdr:colOff>161924</xdr:colOff>
      <xdr:row>18</xdr:row>
      <xdr:rowOff>118812</xdr:rowOff>
    </xdr:to>
    <xdr:sp macro="[0]!Print_Order" textlink="">
      <xdr:nvSpPr>
        <xdr:cNvPr id="15" name="Rounded Rectangle 14"/>
        <xdr:cNvSpPr/>
      </xdr:nvSpPr>
      <xdr:spPr>
        <a:xfrm>
          <a:off x="8296275" y="3362325"/>
          <a:ext cx="952499" cy="471237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0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Print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9526</xdr:rowOff>
    </xdr:from>
    <xdr:to>
      <xdr:col>11</xdr:col>
      <xdr:colOff>4082</xdr:colOff>
      <xdr:row>5</xdr:row>
      <xdr:rowOff>152401</xdr:rowOff>
    </xdr:to>
    <xdr:pic>
      <xdr:nvPicPr>
        <xdr:cNvPr id="2" name="il_fi" descr="http://www.bbcgoodfood.com/recipes/1733/images/1733_MEDIUM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80947" y="390526"/>
          <a:ext cx="776109" cy="724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</xdr:colOff>
      <xdr:row>5</xdr:row>
      <xdr:rowOff>167463</xdr:rowOff>
    </xdr:from>
    <xdr:to>
      <xdr:col>11</xdr:col>
      <xdr:colOff>0</xdr:colOff>
      <xdr:row>8</xdr:row>
      <xdr:rowOff>127515</xdr:rowOff>
    </xdr:to>
    <xdr:pic>
      <xdr:nvPicPr>
        <xdr:cNvPr id="3" name="il_fi" descr="http://food.sndimg.com/img/recipes/15/34/8/large/picCj2Q7e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200"/>
        <a:stretch/>
      </xdr:blipFill>
      <xdr:spPr bwMode="auto">
        <a:xfrm>
          <a:off x="7972426" y="938988"/>
          <a:ext cx="771524" cy="560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48598</xdr:colOff>
      <xdr:row>8</xdr:row>
      <xdr:rowOff>133350</xdr:rowOff>
    </xdr:from>
    <xdr:to>
      <xdr:col>11</xdr:col>
      <xdr:colOff>0</xdr:colOff>
      <xdr:row>13</xdr:row>
      <xdr:rowOff>165099</xdr:rowOff>
    </xdr:to>
    <xdr:pic>
      <xdr:nvPicPr>
        <xdr:cNvPr id="4" name="Picture 3" descr="http://farm4.static.flickr.com/3192/2927904778_9dbd946d51.jp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86098" y="1708150"/>
          <a:ext cx="776902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2838</xdr:colOff>
      <xdr:row>13</xdr:row>
      <xdr:rowOff>177801</xdr:rowOff>
    </xdr:from>
    <xdr:to>
      <xdr:col>11</xdr:col>
      <xdr:colOff>1128</xdr:colOff>
      <xdr:row>17</xdr:row>
      <xdr:rowOff>139701</xdr:rowOff>
    </xdr:to>
    <xdr:pic>
      <xdr:nvPicPr>
        <xdr:cNvPr id="5" name="Picture 4" descr="http://www.orangegrassltd.co.uk/wp-content/uploads/2009/08/Mixed-Seafood.JP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91138" y="2768601"/>
          <a:ext cx="772990" cy="77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7063</xdr:colOff>
      <xdr:row>17</xdr:row>
      <xdr:rowOff>140654</xdr:rowOff>
    </xdr:from>
    <xdr:to>
      <xdr:col>11</xdr:col>
      <xdr:colOff>29</xdr:colOff>
      <xdr:row>19</xdr:row>
      <xdr:rowOff>198192</xdr:rowOff>
    </xdr:to>
    <xdr:pic>
      <xdr:nvPicPr>
        <xdr:cNvPr id="6" name="Picture 5" descr="http://images.getmecooking.com/recipes/sweet-and-sour-chicken/sweet-and-sour-chicken.jp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88010" y="3509496"/>
          <a:ext cx="764993" cy="4585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0</xdr:row>
      <xdr:rowOff>18</xdr:rowOff>
    </xdr:from>
    <xdr:to>
      <xdr:col>14</xdr:col>
      <xdr:colOff>163031</xdr:colOff>
      <xdr:row>3</xdr:row>
      <xdr:rowOff>148175</xdr:rowOff>
    </xdr:to>
    <xdr:grpSp>
      <xdr:nvGrpSpPr>
        <xdr:cNvPr id="7" name="Group 6"/>
        <xdr:cNvGrpSpPr/>
      </xdr:nvGrpSpPr>
      <xdr:grpSpPr>
        <a:xfrm>
          <a:off x="9404684" y="18"/>
          <a:ext cx="774636" cy="719657"/>
          <a:chOff x="9949382" y="160322"/>
          <a:chExt cx="773316" cy="712018"/>
        </a:xfrm>
      </xdr:grpSpPr>
      <xdr:sp macro="[0]!LinkToOrder" textlink="">
        <xdr:nvSpPr>
          <xdr:cNvPr id="8" name="Left Arrow 7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LinkToOrder">
        <xdr:nvPicPr>
          <xdr:cNvPr id="9" name="Picture 8"/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200527</xdr:colOff>
      <xdr:row>18</xdr:row>
      <xdr:rowOff>0</xdr:rowOff>
    </xdr:from>
    <xdr:to>
      <xdr:col>13</xdr:col>
      <xdr:colOff>541421</xdr:colOff>
      <xdr:row>20</xdr:row>
      <xdr:rowOff>70184</xdr:rowOff>
    </xdr:to>
    <xdr:sp macro="[0]!Print_Menu" textlink="">
      <xdr:nvSpPr>
        <xdr:cNvPr id="11" name="Rounded Rectangle 10"/>
        <xdr:cNvSpPr/>
      </xdr:nvSpPr>
      <xdr:spPr>
        <a:xfrm>
          <a:off x="8993606" y="3569368"/>
          <a:ext cx="952499" cy="471237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0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Print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4</xdr:row>
      <xdr:rowOff>47625</xdr:rowOff>
    </xdr:from>
    <xdr:to>
      <xdr:col>7</xdr:col>
      <xdr:colOff>342899</xdr:colOff>
      <xdr:row>7</xdr:row>
      <xdr:rowOff>76200</xdr:rowOff>
    </xdr:to>
    <xdr:sp macro="[0]!LinktoStaffPayment" textlink="">
      <xdr:nvSpPr>
        <xdr:cNvPr id="8" name="Flowchart: Card 7"/>
        <xdr:cNvSpPr/>
      </xdr:nvSpPr>
      <xdr:spPr>
        <a:xfrm flipH="1">
          <a:off x="2790824" y="809625"/>
          <a:ext cx="1533525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Staff Payment</a:t>
          </a:r>
        </a:p>
      </xdr:txBody>
    </xdr:sp>
    <xdr:clientData/>
  </xdr:twoCellAnchor>
  <xdr:twoCellAnchor>
    <xdr:from>
      <xdr:col>5</xdr:col>
      <xdr:colOff>19050</xdr:colOff>
      <xdr:row>8</xdr:row>
      <xdr:rowOff>57150</xdr:rowOff>
    </xdr:from>
    <xdr:to>
      <xdr:col>7</xdr:col>
      <xdr:colOff>342900</xdr:colOff>
      <xdr:row>11</xdr:row>
      <xdr:rowOff>85725</xdr:rowOff>
    </xdr:to>
    <xdr:sp macro="[0]!LinkToStaffScheduling" textlink="">
      <xdr:nvSpPr>
        <xdr:cNvPr id="9" name="Flowchart: Card 8"/>
        <xdr:cNvSpPr/>
      </xdr:nvSpPr>
      <xdr:spPr>
        <a:xfrm flipH="1">
          <a:off x="2781300" y="1581150"/>
          <a:ext cx="1543050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Staff Schedule</a:t>
          </a:r>
          <a:r>
            <a:rPr lang="en-GB" sz="240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 </a:t>
          </a:r>
          <a:endParaRPr lang="en-GB" sz="240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>
    <xdr:from>
      <xdr:col>2</xdr:col>
      <xdr:colOff>295275</xdr:colOff>
      <xdr:row>4</xdr:row>
      <xdr:rowOff>47625</xdr:rowOff>
    </xdr:from>
    <xdr:to>
      <xdr:col>4</xdr:col>
      <xdr:colOff>600075</xdr:colOff>
      <xdr:row>7</xdr:row>
      <xdr:rowOff>76200</xdr:rowOff>
    </xdr:to>
    <xdr:sp macro="[0]!LinktoCashFlow" textlink="">
      <xdr:nvSpPr>
        <xdr:cNvPr id="10" name="Flowchart: Card 9"/>
        <xdr:cNvSpPr/>
      </xdr:nvSpPr>
      <xdr:spPr>
        <a:xfrm>
          <a:off x="1228725" y="809625"/>
          <a:ext cx="1524000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Cash Flow</a:t>
          </a:r>
        </a:p>
      </xdr:txBody>
    </xdr:sp>
    <xdr:clientData/>
  </xdr:twoCellAnchor>
  <xdr:twoCellAnchor>
    <xdr:from>
      <xdr:col>2</xdr:col>
      <xdr:colOff>285750</xdr:colOff>
      <xdr:row>11</xdr:row>
      <xdr:rowOff>171450</xdr:rowOff>
    </xdr:from>
    <xdr:to>
      <xdr:col>4</xdr:col>
      <xdr:colOff>590550</xdr:colOff>
      <xdr:row>15</xdr:row>
      <xdr:rowOff>9525</xdr:rowOff>
    </xdr:to>
    <xdr:sp macro="[0]!LinktoStaffNews" textlink="">
      <xdr:nvSpPr>
        <xdr:cNvPr id="12" name="Flowchart: Card 11"/>
        <xdr:cNvSpPr/>
      </xdr:nvSpPr>
      <xdr:spPr>
        <a:xfrm>
          <a:off x="1219200" y="2266950"/>
          <a:ext cx="1524000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Staff News</a:t>
          </a:r>
        </a:p>
      </xdr:txBody>
    </xdr:sp>
    <xdr:clientData/>
  </xdr:twoCellAnchor>
  <xdr:twoCellAnchor>
    <xdr:from>
      <xdr:col>5</xdr:col>
      <xdr:colOff>19050</xdr:colOff>
      <xdr:row>11</xdr:row>
      <xdr:rowOff>180975</xdr:rowOff>
    </xdr:from>
    <xdr:to>
      <xdr:col>7</xdr:col>
      <xdr:colOff>342900</xdr:colOff>
      <xdr:row>15</xdr:row>
      <xdr:rowOff>19050</xdr:rowOff>
    </xdr:to>
    <xdr:sp macro="[0]!Linkto_NewStaff" textlink="">
      <xdr:nvSpPr>
        <xdr:cNvPr id="22" name="Flowchart: Card 21"/>
        <xdr:cNvSpPr/>
      </xdr:nvSpPr>
      <xdr:spPr>
        <a:xfrm flipH="1">
          <a:off x="2781300" y="2276475"/>
          <a:ext cx="1543050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Add</a:t>
          </a:r>
          <a:r>
            <a:rPr lang="en-GB" sz="2400" baseline="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 New Staff</a:t>
          </a:r>
          <a:endParaRPr lang="en-GB" sz="2400">
            <a:solidFill>
              <a:schemeClr val="accent6">
                <a:lumMod val="60000"/>
                <a:lumOff val="40000"/>
              </a:schemeClr>
            </a:solidFill>
            <a:latin typeface="Freestyle Script" pitchFamily="66" charset="0"/>
          </a:endParaRPr>
        </a:p>
      </xdr:txBody>
    </xdr:sp>
    <xdr:clientData/>
  </xdr:twoCellAnchor>
  <xdr:twoCellAnchor>
    <xdr:from>
      <xdr:col>2</xdr:col>
      <xdr:colOff>285750</xdr:colOff>
      <xdr:row>15</xdr:row>
      <xdr:rowOff>104775</xdr:rowOff>
    </xdr:from>
    <xdr:to>
      <xdr:col>4</xdr:col>
      <xdr:colOff>590550</xdr:colOff>
      <xdr:row>18</xdr:row>
      <xdr:rowOff>133350</xdr:rowOff>
    </xdr:to>
    <xdr:sp macro="[0]!LinktoStaffDetails" textlink="">
      <xdr:nvSpPr>
        <xdr:cNvPr id="27" name="Flowchart: Card 26"/>
        <xdr:cNvSpPr/>
      </xdr:nvSpPr>
      <xdr:spPr>
        <a:xfrm>
          <a:off x="1219200" y="2962275"/>
          <a:ext cx="1524000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Staff Details</a:t>
          </a:r>
        </a:p>
      </xdr:txBody>
    </xdr:sp>
    <xdr:clientData/>
  </xdr:twoCellAnchor>
  <xdr:twoCellAnchor>
    <xdr:from>
      <xdr:col>2</xdr:col>
      <xdr:colOff>285750</xdr:colOff>
      <xdr:row>8</xdr:row>
      <xdr:rowOff>57150</xdr:rowOff>
    </xdr:from>
    <xdr:to>
      <xdr:col>4</xdr:col>
      <xdr:colOff>590550</xdr:colOff>
      <xdr:row>11</xdr:row>
      <xdr:rowOff>85725</xdr:rowOff>
    </xdr:to>
    <xdr:sp macro="[0]!LinktoCutleryCount" textlink="">
      <xdr:nvSpPr>
        <xdr:cNvPr id="65" name="Flowchart: Card 64"/>
        <xdr:cNvSpPr/>
      </xdr:nvSpPr>
      <xdr:spPr>
        <a:xfrm>
          <a:off x="1219200" y="1581150"/>
          <a:ext cx="1524000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Cutlery Count</a:t>
          </a:r>
        </a:p>
      </xdr:txBody>
    </xdr:sp>
    <xdr:clientData/>
  </xdr:twoCellAnchor>
  <xdr:twoCellAnchor>
    <xdr:from>
      <xdr:col>5</xdr:col>
      <xdr:colOff>28575</xdr:colOff>
      <xdr:row>15</xdr:row>
      <xdr:rowOff>104775</xdr:rowOff>
    </xdr:from>
    <xdr:to>
      <xdr:col>7</xdr:col>
      <xdr:colOff>352425</xdr:colOff>
      <xdr:row>18</xdr:row>
      <xdr:rowOff>133350</xdr:rowOff>
    </xdr:to>
    <xdr:sp macro="[0]!Linkto_Homepage" textlink="">
      <xdr:nvSpPr>
        <xdr:cNvPr id="11" name="Flowchart: Card 10"/>
        <xdr:cNvSpPr/>
      </xdr:nvSpPr>
      <xdr:spPr>
        <a:xfrm flipH="1">
          <a:off x="2790825" y="2962275"/>
          <a:ext cx="1543050" cy="600075"/>
        </a:xfrm>
        <a:prstGeom prst="flowChartPunchedCar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accent6">
                  <a:lumMod val="60000"/>
                  <a:lumOff val="40000"/>
                </a:schemeClr>
              </a:solidFill>
              <a:latin typeface="Freestyle Script" pitchFamily="66" charset="0"/>
            </a:rPr>
            <a:t>Homepage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807509</xdr:colOff>
      <xdr:row>3</xdr:row>
      <xdr:rowOff>102658</xdr:rowOff>
    </xdr:to>
    <xdr:pic macro="[0]!Homepag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7509" cy="645583"/>
        </a:xfrm>
        <a:prstGeom prst="rect">
          <a:avLst/>
        </a:prstGeom>
      </xdr:spPr>
    </xdr:pic>
    <xdr:clientData/>
  </xdr:twoCellAnchor>
  <xdr:twoCellAnchor>
    <xdr:from>
      <xdr:col>15</xdr:col>
      <xdr:colOff>485775</xdr:colOff>
      <xdr:row>0</xdr:row>
      <xdr:rowOff>0</xdr:rowOff>
    </xdr:from>
    <xdr:to>
      <xdr:col>17</xdr:col>
      <xdr:colOff>41211</xdr:colOff>
      <xdr:row>3</xdr:row>
      <xdr:rowOff>176732</xdr:rowOff>
    </xdr:to>
    <xdr:grpSp>
      <xdr:nvGrpSpPr>
        <xdr:cNvPr id="4" name="Group 3"/>
        <xdr:cNvGrpSpPr/>
      </xdr:nvGrpSpPr>
      <xdr:grpSpPr>
        <a:xfrm>
          <a:off x="9031061" y="0"/>
          <a:ext cx="780079" cy="734625"/>
          <a:chOff x="9949382" y="160322"/>
          <a:chExt cx="773316" cy="712018"/>
        </a:xfrm>
      </xdr:grpSpPr>
      <xdr:sp macro="[0]!StaffData" textlink="">
        <xdr:nvSpPr>
          <xdr:cNvPr id="5" name="Left Arrow 4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StaffData">
        <xdr:nvPicPr>
          <xdr:cNvPr id="6" name="Picture 5"/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128655</xdr:colOff>
      <xdr:row>4</xdr:row>
      <xdr:rowOff>61979</xdr:rowOff>
    </xdr:from>
    <xdr:to>
      <xdr:col>22</xdr:col>
      <xdr:colOff>0</xdr:colOff>
      <xdr:row>15</xdr:row>
      <xdr:rowOff>123825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133350</xdr:colOff>
      <xdr:row>24</xdr:row>
      <xdr:rowOff>14287</xdr:rowOff>
    </xdr:from>
    <xdr:to>
      <xdr:col>22</xdr:col>
      <xdr:colOff>438150</xdr:colOff>
      <xdr:row>35</xdr:row>
      <xdr:rowOff>23812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219076</xdr:colOff>
      <xdr:row>1</xdr:row>
      <xdr:rowOff>190500</xdr:rowOff>
    </xdr:to>
    <xdr:pic macro="[0]!Homepag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9626" cy="647700"/>
        </a:xfrm>
        <a:prstGeom prst="rect">
          <a:avLst/>
        </a:prstGeom>
      </xdr:spPr>
    </xdr:pic>
    <xdr:clientData/>
  </xdr:twoCellAnchor>
  <xdr:twoCellAnchor>
    <xdr:from>
      <xdr:col>23</xdr:col>
      <xdr:colOff>624313</xdr:colOff>
      <xdr:row>0</xdr:row>
      <xdr:rowOff>5</xdr:rowOff>
    </xdr:from>
    <xdr:to>
      <xdr:col>24</xdr:col>
      <xdr:colOff>721616</xdr:colOff>
      <xdr:row>2</xdr:row>
      <xdr:rowOff>63495</xdr:rowOff>
    </xdr:to>
    <xdr:grpSp>
      <xdr:nvGrpSpPr>
        <xdr:cNvPr id="4" name="Group 3"/>
        <xdr:cNvGrpSpPr/>
      </xdr:nvGrpSpPr>
      <xdr:grpSpPr>
        <a:xfrm>
          <a:off x="16331038" y="5"/>
          <a:ext cx="773578" cy="720715"/>
          <a:chOff x="9949382" y="160322"/>
          <a:chExt cx="773316" cy="712018"/>
        </a:xfrm>
      </xdr:grpSpPr>
      <xdr:sp macro="[0]!StaffData" textlink="">
        <xdr:nvSpPr>
          <xdr:cNvPr id="5" name="Left Arrow 4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StaffData">
        <xdr:nvPicPr>
          <xdr:cNvPr id="6" name="Picture 5"/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1000125</xdr:colOff>
      <xdr:row>0</xdr:row>
      <xdr:rowOff>295275</xdr:rowOff>
    </xdr:from>
    <xdr:to>
      <xdr:col>3</xdr:col>
      <xdr:colOff>762000</xdr:colOff>
      <xdr:row>1</xdr:row>
      <xdr:rowOff>114300</xdr:rowOff>
    </xdr:to>
    <xdr:sp macro="[0]!ClearPerHour_StaffPayment" textlink="">
      <xdr:nvSpPr>
        <xdr:cNvPr id="2" name="Rectangle 1"/>
        <xdr:cNvSpPr/>
      </xdr:nvSpPr>
      <xdr:spPr>
        <a:xfrm>
          <a:off x="2543175" y="295275"/>
          <a:ext cx="790575" cy="2762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Clear</a:t>
          </a:r>
        </a:p>
      </xdr:txBody>
    </xdr:sp>
    <xdr:clientData/>
  </xdr:twoCellAnchor>
  <xdr:twoCellAnchor>
    <xdr:from>
      <xdr:col>3</xdr:col>
      <xdr:colOff>800100</xdr:colOff>
      <xdr:row>0</xdr:row>
      <xdr:rowOff>142876</xdr:rowOff>
    </xdr:from>
    <xdr:to>
      <xdr:col>6</xdr:col>
      <xdr:colOff>276225</xdr:colOff>
      <xdr:row>0</xdr:row>
      <xdr:rowOff>438150</xdr:rowOff>
    </xdr:to>
    <xdr:sp macro="[0]!ClearHoursPerDay_StaffPayment" textlink="">
      <xdr:nvSpPr>
        <xdr:cNvPr id="7" name="Rectangle 6"/>
        <xdr:cNvSpPr/>
      </xdr:nvSpPr>
      <xdr:spPr>
        <a:xfrm>
          <a:off x="3371850" y="142876"/>
          <a:ext cx="1428750" cy="29527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Clear (Hours Per Day)</a:t>
          </a:r>
        </a:p>
      </xdr:txBody>
    </xdr:sp>
    <xdr:clientData/>
  </xdr:twoCellAnchor>
  <xdr:twoCellAnchor>
    <xdr:from>
      <xdr:col>17</xdr:col>
      <xdr:colOff>104775</xdr:colOff>
      <xdr:row>24</xdr:row>
      <xdr:rowOff>171450</xdr:rowOff>
    </xdr:from>
    <xdr:to>
      <xdr:col>18</xdr:col>
      <xdr:colOff>381000</xdr:colOff>
      <xdr:row>26</xdr:row>
      <xdr:rowOff>38100</xdr:rowOff>
    </xdr:to>
    <xdr:sp macro="[0]!DeleteDaysTaken" textlink="">
      <xdr:nvSpPr>
        <xdr:cNvPr id="8" name="Rounded Rectangle 7"/>
        <xdr:cNvSpPr/>
      </xdr:nvSpPr>
      <xdr:spPr>
        <a:xfrm>
          <a:off x="11753850" y="5200650"/>
          <a:ext cx="952500" cy="2667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Clear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434850</xdr:colOff>
      <xdr:row>0</xdr:row>
      <xdr:rowOff>0</xdr:rowOff>
    </xdr:from>
    <xdr:to>
      <xdr:col>18</xdr:col>
      <xdr:colOff>599886</xdr:colOff>
      <xdr:row>3</xdr:row>
      <xdr:rowOff>148157</xdr:rowOff>
    </xdr:to>
    <xdr:grpSp>
      <xdr:nvGrpSpPr>
        <xdr:cNvPr id="14" name="Group 13"/>
        <xdr:cNvGrpSpPr/>
      </xdr:nvGrpSpPr>
      <xdr:grpSpPr>
        <a:xfrm>
          <a:off x="11293350" y="0"/>
          <a:ext cx="774636" cy="719657"/>
          <a:chOff x="9949382" y="160322"/>
          <a:chExt cx="773316" cy="712018"/>
        </a:xfrm>
      </xdr:grpSpPr>
      <xdr:sp macro="[0]!StaffData" textlink="">
        <xdr:nvSpPr>
          <xdr:cNvPr id="11" name="Left Arrow 10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StaffData">
        <xdr:nvPicPr>
          <xdr:cNvPr id="13" name="Picture 12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419100</xdr:colOff>
      <xdr:row>0</xdr:row>
      <xdr:rowOff>0</xdr:rowOff>
    </xdr:from>
    <xdr:to>
      <xdr:col>18</xdr:col>
      <xdr:colOff>584136</xdr:colOff>
      <xdr:row>4</xdr:row>
      <xdr:rowOff>148157</xdr:rowOff>
    </xdr:to>
    <xdr:grpSp>
      <xdr:nvGrpSpPr>
        <xdr:cNvPr id="2" name="Group 1"/>
        <xdr:cNvGrpSpPr/>
      </xdr:nvGrpSpPr>
      <xdr:grpSpPr>
        <a:xfrm>
          <a:off x="9848850" y="0"/>
          <a:ext cx="774636" cy="719657"/>
          <a:chOff x="9949382" y="160322"/>
          <a:chExt cx="773316" cy="712018"/>
        </a:xfrm>
      </xdr:grpSpPr>
      <xdr:sp macro="[0]!StaffData" textlink="">
        <xdr:nvSpPr>
          <xdr:cNvPr id="3" name="Left Arrow 2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StaffData">
        <xdr:nvPicPr>
          <xdr:cNvPr id="4" name="Picture 3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219075</xdr:colOff>
      <xdr:row>84</xdr:row>
      <xdr:rowOff>85725</xdr:rowOff>
    </xdr:from>
    <xdr:to>
      <xdr:col>20</xdr:col>
      <xdr:colOff>180975</xdr:colOff>
      <xdr:row>86</xdr:row>
      <xdr:rowOff>0</xdr:rowOff>
    </xdr:to>
    <xdr:sp macro="[0]!ClearAll" textlink="">
      <xdr:nvSpPr>
        <xdr:cNvPr id="21" name="Rounded Rectangle 20"/>
        <xdr:cNvSpPr/>
      </xdr:nvSpPr>
      <xdr:spPr>
        <a:xfrm>
          <a:off x="9029700" y="14582775"/>
          <a:ext cx="1790700" cy="2667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133350</xdr:rowOff>
        </xdr:from>
        <xdr:to>
          <xdr:col>8</xdr:col>
          <xdr:colOff>0</xdr:colOff>
          <xdr:row>3</xdr:row>
          <xdr:rowOff>190500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8</xdr:col>
          <xdr:colOff>9525</xdr:colOff>
          <xdr:row>7</xdr:row>
          <xdr:rowOff>19050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942975</xdr:colOff>
          <xdr:row>19</xdr:row>
          <xdr:rowOff>28575</xdr:rowOff>
        </xdr:from>
        <xdr:to>
          <xdr:col>7</xdr:col>
          <xdr:colOff>361950</xdr:colOff>
          <xdr:row>20</xdr:row>
          <xdr:rowOff>38100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552451</xdr:colOff>
      <xdr:row>18</xdr:row>
      <xdr:rowOff>85725</xdr:rowOff>
    </xdr:from>
    <xdr:to>
      <xdr:col>12</xdr:col>
      <xdr:colOff>885825</xdr:colOff>
      <xdr:row>20</xdr:row>
      <xdr:rowOff>9525</xdr:rowOff>
    </xdr:to>
    <xdr:sp macro="[0]!AddNewStaff" textlink="">
      <xdr:nvSpPr>
        <xdr:cNvPr id="5" name="Snip Diagonal Corner Rectangle 4"/>
        <xdr:cNvSpPr/>
      </xdr:nvSpPr>
      <xdr:spPr>
        <a:xfrm>
          <a:off x="8886826" y="4057650"/>
          <a:ext cx="1543049" cy="304800"/>
        </a:xfrm>
        <a:prstGeom prst="snip2Diag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latin typeface="Freestyle Script" pitchFamily="66" charset="0"/>
            </a:rPr>
            <a:t>Add</a:t>
          </a:r>
          <a:r>
            <a:rPr lang="en-GB" sz="2400" baseline="0">
              <a:latin typeface="Freestyle Script" pitchFamily="66" charset="0"/>
            </a:rPr>
            <a:t> New Staff</a:t>
          </a:r>
          <a:endParaRPr lang="en-GB" sz="2400">
            <a:latin typeface="Freestyle Script" pitchFamily="66" charset="0"/>
          </a:endParaRPr>
        </a:p>
      </xdr:txBody>
    </xdr:sp>
    <xdr:clientData/>
  </xdr:twoCellAnchor>
  <xdr:twoCellAnchor>
    <xdr:from>
      <xdr:col>3</xdr:col>
      <xdr:colOff>352425</xdr:colOff>
      <xdr:row>21</xdr:row>
      <xdr:rowOff>76200</xdr:rowOff>
    </xdr:from>
    <xdr:to>
      <xdr:col>6</xdr:col>
      <xdr:colOff>66675</xdr:colOff>
      <xdr:row>23</xdr:row>
      <xdr:rowOff>104775</xdr:rowOff>
    </xdr:to>
    <xdr:sp macro="[0]!RefreshNewSTAFF" textlink="">
      <xdr:nvSpPr>
        <xdr:cNvPr id="6" name="Snip Diagonal Corner Rectangle 5"/>
        <xdr:cNvSpPr/>
      </xdr:nvSpPr>
      <xdr:spPr>
        <a:xfrm>
          <a:off x="2533650" y="4629150"/>
          <a:ext cx="1514475" cy="409575"/>
        </a:xfrm>
        <a:prstGeom prst="snip2Diag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latin typeface="Freestyle Script" pitchFamily="66" charset="0"/>
            </a:rPr>
            <a:t>Refresh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128588</xdr:colOff>
      <xdr:row>2</xdr:row>
      <xdr:rowOff>57150</xdr:rowOff>
    </xdr:to>
    <xdr:pic macro="[0]!Homepage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38188" cy="590550"/>
        </a:xfrm>
        <a:prstGeom prst="rect">
          <a:avLst/>
        </a:prstGeom>
      </xdr:spPr>
    </xdr:pic>
    <xdr:clientData/>
  </xdr:twoCellAnchor>
  <xdr:twoCellAnchor>
    <xdr:from>
      <xdr:col>14</xdr:col>
      <xdr:colOff>1343025</xdr:colOff>
      <xdr:row>0</xdr:row>
      <xdr:rowOff>38100</xdr:rowOff>
    </xdr:from>
    <xdr:to>
      <xdr:col>14</xdr:col>
      <xdr:colOff>2117661</xdr:colOff>
      <xdr:row>3</xdr:row>
      <xdr:rowOff>81482</xdr:rowOff>
    </xdr:to>
    <xdr:grpSp>
      <xdr:nvGrpSpPr>
        <xdr:cNvPr id="8" name="Group 7"/>
        <xdr:cNvGrpSpPr/>
      </xdr:nvGrpSpPr>
      <xdr:grpSpPr>
        <a:xfrm>
          <a:off x="12687300" y="38100"/>
          <a:ext cx="774636" cy="719657"/>
          <a:chOff x="9949382" y="160322"/>
          <a:chExt cx="773316" cy="712018"/>
        </a:xfrm>
      </xdr:grpSpPr>
      <xdr:sp macro="[0]!StaffData" textlink="">
        <xdr:nvSpPr>
          <xdr:cNvPr id="9" name="Left Arrow 8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StaffData">
        <xdr:nvPicPr>
          <xdr:cNvPr id="10" name="Picture 9"/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971939</xdr:colOff>
      <xdr:row>0</xdr:row>
      <xdr:rowOff>155510</xdr:rowOff>
    </xdr:from>
    <xdr:to>
      <xdr:col>13</xdr:col>
      <xdr:colOff>515128</xdr:colOff>
      <xdr:row>0</xdr:row>
      <xdr:rowOff>699796</xdr:rowOff>
    </xdr:to>
    <xdr:sp macro="[0]!DeleteRow3" textlink="">
      <xdr:nvSpPr>
        <xdr:cNvPr id="18" name="Multiply 17"/>
        <xdr:cNvSpPr/>
      </xdr:nvSpPr>
      <xdr:spPr>
        <a:xfrm>
          <a:off x="11196735" y="155510"/>
          <a:ext cx="534566" cy="544286"/>
        </a:xfrm>
        <a:prstGeom prst="mathMultiply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398009</xdr:colOff>
      <xdr:row>0</xdr:row>
      <xdr:rowOff>590550</xdr:rowOff>
    </xdr:to>
    <xdr:pic macro="[0]!Homepage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38188" cy="590550"/>
        </a:xfrm>
        <a:prstGeom prst="rect">
          <a:avLst/>
        </a:prstGeom>
      </xdr:spPr>
    </xdr:pic>
    <xdr:clientData/>
  </xdr:twoCellAnchor>
  <xdr:twoCellAnchor>
    <xdr:from>
      <xdr:col>15</xdr:col>
      <xdr:colOff>437355</xdr:colOff>
      <xdr:row>0</xdr:row>
      <xdr:rowOff>0</xdr:rowOff>
    </xdr:from>
    <xdr:to>
      <xdr:col>16</xdr:col>
      <xdr:colOff>599669</xdr:colOff>
      <xdr:row>0</xdr:row>
      <xdr:rowOff>719657</xdr:rowOff>
    </xdr:to>
    <xdr:grpSp>
      <xdr:nvGrpSpPr>
        <xdr:cNvPr id="20" name="Group 19"/>
        <xdr:cNvGrpSpPr/>
      </xdr:nvGrpSpPr>
      <xdr:grpSpPr>
        <a:xfrm>
          <a:off x="12878171" y="0"/>
          <a:ext cx="774636" cy="719657"/>
          <a:chOff x="9949382" y="160322"/>
          <a:chExt cx="773316" cy="712018"/>
        </a:xfrm>
      </xdr:grpSpPr>
      <xdr:sp macro="[0]!StaffData" textlink="">
        <xdr:nvSpPr>
          <xdr:cNvPr id="21" name="Left Arrow 20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StaffData">
        <xdr:nvPicPr>
          <xdr:cNvPr id="22" name="Picture 21"/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700088</xdr:colOff>
      <xdr:row>3</xdr:row>
      <xdr:rowOff>133350</xdr:rowOff>
    </xdr:to>
    <xdr:pic macro="[0]!Homepag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0088" cy="590550"/>
        </a:xfrm>
        <a:prstGeom prst="rect">
          <a:avLst/>
        </a:prstGeom>
      </xdr:spPr>
    </xdr:pic>
    <xdr:clientData/>
  </xdr:twoCellAnchor>
  <xdr:twoCellAnchor>
    <xdr:from>
      <xdr:col>11</xdr:col>
      <xdr:colOff>533400</xdr:colOff>
      <xdr:row>0</xdr:row>
      <xdr:rowOff>0</xdr:rowOff>
    </xdr:from>
    <xdr:to>
      <xdr:col>13</xdr:col>
      <xdr:colOff>88836</xdr:colOff>
      <xdr:row>4</xdr:row>
      <xdr:rowOff>71957</xdr:rowOff>
    </xdr:to>
    <xdr:grpSp>
      <xdr:nvGrpSpPr>
        <xdr:cNvPr id="3" name="Group 2"/>
        <xdr:cNvGrpSpPr/>
      </xdr:nvGrpSpPr>
      <xdr:grpSpPr>
        <a:xfrm>
          <a:off x="7353300" y="0"/>
          <a:ext cx="774636" cy="719657"/>
          <a:chOff x="9949382" y="160322"/>
          <a:chExt cx="773316" cy="712018"/>
        </a:xfrm>
      </xdr:grpSpPr>
      <xdr:sp macro="[0]!StaffData" textlink="">
        <xdr:nvSpPr>
          <xdr:cNvPr id="4" name="Left Arrow 3"/>
          <xdr:cNvSpPr/>
        </xdr:nvSpPr>
        <xdr:spPr>
          <a:xfrm>
            <a:off x="9949382" y="349688"/>
            <a:ext cx="749740" cy="362329"/>
          </a:xfrm>
          <a:prstGeom prst="leftArrow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StaffData">
        <xdr:nvPicPr>
          <xdr:cNvPr id="5" name="Picture 4"/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049" t="13299" r="29625" b="9471"/>
          <a:stretch/>
        </xdr:blipFill>
        <xdr:spPr>
          <a:xfrm>
            <a:off x="10246448" y="160322"/>
            <a:ext cx="476250" cy="71201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U25"/>
  <sheetViews>
    <sheetView showGridLines="0" showRowColHeaders="0" tabSelected="1" zoomScale="70" zoomScaleNormal="70" workbookViewId="0">
      <selection activeCell="B19" sqref="B19:Q23"/>
    </sheetView>
  </sheetViews>
  <sheetFormatPr defaultColWidth="0" defaultRowHeight="15" zeroHeight="1" x14ac:dyDescent="0.25"/>
  <cols>
    <col min="1" max="5" width="9.140625" style="91" customWidth="1"/>
    <col min="6" max="6" width="7.7109375" style="91" customWidth="1"/>
    <col min="7" max="12" width="9.140625" style="91" customWidth="1"/>
    <col min="13" max="13" width="6.140625" style="91" customWidth="1"/>
    <col min="14" max="19" width="9.140625" style="91" customWidth="1"/>
    <col min="20" max="20" width="9.140625" style="91" hidden="1" customWidth="1"/>
    <col min="21" max="21" width="10.140625" style="91" hidden="1" customWidth="1"/>
    <col min="22" max="16384" width="9.140625" style="91" hidden="1"/>
  </cols>
  <sheetData>
    <row r="1" spans="1:21" x14ac:dyDescent="0.25">
      <c r="A1" s="177">
        <f ca="1">NOW()</f>
        <v>41402.894735416667</v>
      </c>
      <c r="B1" s="178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89"/>
      <c r="U1" s="89"/>
    </row>
    <row r="2" spans="1:21" ht="15" customHeight="1" x14ac:dyDescent="0.25">
      <c r="A2" s="178"/>
      <c r="B2" s="178"/>
      <c r="C2" s="94"/>
      <c r="D2" s="94"/>
      <c r="E2" s="94"/>
      <c r="F2" s="94"/>
      <c r="G2" s="94"/>
      <c r="H2" s="179" t="s">
        <v>0</v>
      </c>
      <c r="I2" s="179"/>
      <c r="J2" s="179"/>
      <c r="K2" s="179"/>
      <c r="L2" s="94"/>
      <c r="M2" s="94"/>
      <c r="N2" s="94"/>
      <c r="O2" s="94"/>
      <c r="P2" s="94"/>
      <c r="Q2" s="94"/>
      <c r="R2" s="94"/>
      <c r="S2" s="94"/>
      <c r="T2" s="89"/>
      <c r="U2" s="89"/>
    </row>
    <row r="3" spans="1:21" ht="15" customHeight="1" x14ac:dyDescent="0.25">
      <c r="A3" s="94"/>
      <c r="B3" s="94"/>
      <c r="C3" s="94"/>
      <c r="D3" s="94"/>
      <c r="E3" s="94"/>
      <c r="F3" s="180"/>
      <c r="G3" s="180"/>
      <c r="H3" s="179"/>
      <c r="I3" s="179"/>
      <c r="J3" s="179"/>
      <c r="K3" s="179"/>
      <c r="L3" s="94"/>
      <c r="M3" s="94"/>
      <c r="N3" s="94"/>
      <c r="O3" s="94"/>
      <c r="P3" s="94"/>
      <c r="Q3" s="94"/>
      <c r="R3" s="94"/>
      <c r="S3" s="94"/>
      <c r="T3" s="89"/>
      <c r="U3" s="89"/>
    </row>
    <row r="4" spans="1:21" ht="15" customHeight="1" x14ac:dyDescent="0.25">
      <c r="A4" s="94"/>
      <c r="B4" s="94" t="s">
        <v>9</v>
      </c>
      <c r="C4" s="94"/>
      <c r="D4" s="94"/>
      <c r="E4" s="94"/>
      <c r="F4" s="180"/>
      <c r="G4" s="180"/>
      <c r="H4" s="179"/>
      <c r="I4" s="179"/>
      <c r="J4" s="179"/>
      <c r="K4" s="179"/>
      <c r="L4" s="94"/>
      <c r="M4" s="94"/>
      <c r="N4" s="94"/>
      <c r="O4" s="94"/>
      <c r="P4" s="94"/>
      <c r="Q4" s="94"/>
      <c r="R4" s="94"/>
      <c r="S4" s="94"/>
      <c r="T4" s="89"/>
      <c r="U4" s="89"/>
    </row>
    <row r="5" spans="1:21" ht="15" customHeight="1" x14ac:dyDescent="0.25">
      <c r="A5" s="94"/>
      <c r="B5" s="94"/>
      <c r="C5" s="94"/>
      <c r="D5" s="94"/>
      <c r="E5" s="94"/>
      <c r="F5" s="94"/>
      <c r="G5" s="94"/>
      <c r="H5" s="181"/>
      <c r="I5" s="182" t="s">
        <v>1</v>
      </c>
      <c r="J5" s="182"/>
      <c r="K5" s="183"/>
      <c r="L5" s="94"/>
      <c r="M5" s="94"/>
      <c r="N5" s="94"/>
      <c r="O5" s="94"/>
      <c r="P5" s="94"/>
      <c r="Q5" s="94"/>
      <c r="R5" s="94"/>
      <c r="S5" s="94"/>
      <c r="T5" s="89"/>
      <c r="U5" s="89"/>
    </row>
    <row r="6" spans="1:21" ht="15" customHeight="1" x14ac:dyDescent="0.25">
      <c r="A6" s="94"/>
      <c r="B6" s="94"/>
      <c r="C6" s="94"/>
      <c r="D6" s="94"/>
      <c r="E6" s="94"/>
      <c r="F6" s="94"/>
      <c r="G6" s="184"/>
      <c r="H6" s="181"/>
      <c r="I6" s="182"/>
      <c r="J6" s="182"/>
      <c r="K6" s="183"/>
      <c r="L6" s="94"/>
      <c r="M6" s="94"/>
      <c r="N6" s="94"/>
      <c r="O6" s="94"/>
      <c r="P6" s="94"/>
      <c r="Q6" s="94"/>
      <c r="R6" s="94"/>
      <c r="S6" s="94"/>
      <c r="T6" s="89"/>
      <c r="U6" s="89"/>
    </row>
    <row r="7" spans="1:21" ht="15" customHeight="1" x14ac:dyDescent="0.25">
      <c r="A7" s="94"/>
      <c r="B7" s="185"/>
      <c r="C7" s="185"/>
      <c r="D7" s="185"/>
      <c r="E7" s="94"/>
      <c r="F7" s="94"/>
      <c r="G7" s="184"/>
      <c r="H7" s="181"/>
      <c r="I7" s="182"/>
      <c r="J7" s="182"/>
      <c r="K7" s="183"/>
      <c r="L7" s="185"/>
      <c r="M7" s="185"/>
      <c r="N7" s="185"/>
      <c r="O7" s="94"/>
      <c r="P7" s="94"/>
      <c r="Q7" s="94"/>
      <c r="R7" s="94"/>
      <c r="S7" s="94"/>
      <c r="T7" s="89"/>
      <c r="U7" s="89"/>
    </row>
    <row r="8" spans="1:21" ht="15" customHeight="1" x14ac:dyDescent="0.25">
      <c r="A8" s="94"/>
      <c r="B8" s="185"/>
      <c r="C8" s="185"/>
      <c r="D8" s="185"/>
      <c r="E8" s="94"/>
      <c r="F8" s="94"/>
      <c r="G8" s="186" t="s">
        <v>2</v>
      </c>
      <c r="H8" s="186"/>
      <c r="I8" s="186"/>
      <c r="J8" s="186"/>
      <c r="K8" s="186"/>
      <c r="L8" s="186"/>
      <c r="M8" s="186"/>
      <c r="N8" s="185"/>
      <c r="O8" s="94"/>
      <c r="P8" s="94"/>
      <c r="Q8" s="94"/>
      <c r="R8" s="94"/>
      <c r="S8" s="94"/>
      <c r="T8" s="89"/>
      <c r="U8" s="89"/>
    </row>
    <row r="9" spans="1:21" ht="15" customHeight="1" x14ac:dyDescent="0.25">
      <c r="A9" s="94"/>
      <c r="B9" s="185"/>
      <c r="C9" s="185"/>
      <c r="D9" s="185"/>
      <c r="E9" s="94"/>
      <c r="F9" s="94"/>
      <c r="G9" s="186"/>
      <c r="H9" s="186"/>
      <c r="I9" s="186"/>
      <c r="J9" s="186"/>
      <c r="K9" s="186"/>
      <c r="L9" s="186"/>
      <c r="M9" s="186"/>
      <c r="N9" s="185"/>
      <c r="O9" s="94"/>
      <c r="P9" s="94"/>
      <c r="Q9" s="94"/>
      <c r="R9" s="94"/>
      <c r="S9" s="94"/>
      <c r="T9" s="89"/>
      <c r="U9" s="89"/>
    </row>
    <row r="10" spans="1:21" ht="15" customHeight="1" x14ac:dyDescent="0.25">
      <c r="A10" s="94"/>
      <c r="B10" s="185"/>
      <c r="C10" s="185"/>
      <c r="D10" s="185"/>
      <c r="E10" s="94"/>
      <c r="F10" s="94"/>
      <c r="G10" s="186"/>
      <c r="H10" s="186"/>
      <c r="I10" s="186"/>
      <c r="J10" s="186"/>
      <c r="K10" s="186"/>
      <c r="L10" s="186"/>
      <c r="M10" s="186"/>
      <c r="N10" s="185"/>
      <c r="O10" s="94"/>
      <c r="P10" s="94"/>
      <c r="Q10" s="94"/>
      <c r="R10" s="94"/>
      <c r="S10" s="94"/>
      <c r="T10" s="89"/>
      <c r="U10" s="89"/>
    </row>
    <row r="11" spans="1:21" ht="15" customHeight="1" x14ac:dyDescent="0.25">
      <c r="A11" s="94"/>
      <c r="B11" s="185"/>
      <c r="C11" s="185"/>
      <c r="D11" s="185"/>
      <c r="E11" s="94"/>
      <c r="F11" s="94"/>
      <c r="G11" s="186"/>
      <c r="H11" s="186"/>
      <c r="I11" s="186"/>
      <c r="J11" s="186"/>
      <c r="K11" s="186"/>
      <c r="L11" s="186"/>
      <c r="M11" s="186"/>
      <c r="N11" s="185"/>
      <c r="O11" s="94"/>
      <c r="P11" s="94"/>
      <c r="Q11" s="94"/>
      <c r="R11" s="94"/>
      <c r="S11" s="187"/>
      <c r="T11" s="89"/>
      <c r="U11" s="89"/>
    </row>
    <row r="12" spans="1:21" ht="15" customHeight="1" x14ac:dyDescent="0.25">
      <c r="A12" s="94"/>
      <c r="B12" s="185"/>
      <c r="C12" s="185"/>
      <c r="D12" s="185"/>
      <c r="E12" s="94"/>
      <c r="F12" s="94"/>
      <c r="G12" s="186"/>
      <c r="H12" s="186"/>
      <c r="I12" s="186"/>
      <c r="J12" s="186"/>
      <c r="K12" s="186"/>
      <c r="L12" s="186"/>
      <c r="M12" s="186"/>
      <c r="N12" s="185"/>
      <c r="O12" s="94"/>
      <c r="P12" s="94"/>
      <c r="Q12" s="94"/>
      <c r="R12" s="94"/>
      <c r="S12" s="94"/>
      <c r="T12" s="89"/>
      <c r="U12" s="89"/>
    </row>
    <row r="13" spans="1:21" x14ac:dyDescent="0.25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89"/>
      <c r="U13" s="89"/>
    </row>
    <row r="14" spans="1:21" x14ac:dyDescent="0.25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89"/>
      <c r="U14" s="89"/>
    </row>
    <row r="15" spans="1:21" x14ac:dyDescent="0.25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89"/>
      <c r="U15" s="89"/>
    </row>
    <row r="16" spans="1:21" x14ac:dyDescent="0.25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89"/>
      <c r="U16" s="89"/>
    </row>
    <row r="17" spans="1:21" ht="15" customHeight="1" x14ac:dyDescent="0.25">
      <c r="A17" s="94"/>
      <c r="B17" s="94"/>
      <c r="C17" s="188"/>
      <c r="D17" s="188"/>
      <c r="E17" s="188"/>
      <c r="F17" s="188"/>
      <c r="G17" s="94"/>
      <c r="H17" s="94"/>
      <c r="I17" s="94"/>
      <c r="J17" s="189"/>
      <c r="K17" s="189"/>
      <c r="L17" s="189"/>
      <c r="M17" s="189"/>
      <c r="N17" s="94"/>
      <c r="O17" s="94"/>
      <c r="P17" s="94"/>
      <c r="Q17" s="94"/>
      <c r="R17" s="94"/>
      <c r="S17" s="94"/>
      <c r="T17" s="89"/>
      <c r="U17" s="89"/>
    </row>
    <row r="18" spans="1:21" ht="15" customHeight="1" x14ac:dyDescent="0.25">
      <c r="A18" s="94"/>
      <c r="B18" s="190" t="s">
        <v>194</v>
      </c>
      <c r="C18" s="188"/>
      <c r="D18" s="188"/>
      <c r="E18" s="188"/>
      <c r="F18" s="188"/>
      <c r="G18" s="94"/>
      <c r="H18" s="94"/>
      <c r="I18" s="94"/>
      <c r="J18" s="189"/>
      <c r="K18" s="189"/>
      <c r="L18" s="189"/>
      <c r="M18" s="189"/>
      <c r="N18" s="94"/>
      <c r="O18" s="94"/>
      <c r="P18" s="94"/>
      <c r="Q18" s="94"/>
      <c r="R18" s="94"/>
      <c r="S18" s="94"/>
      <c r="T18" s="89"/>
      <c r="U18" s="89"/>
    </row>
    <row r="19" spans="1:21" ht="15" customHeight="1" x14ac:dyDescent="0.25">
      <c r="A19" s="94"/>
      <c r="B19" s="191" t="str">
        <f>StaffNews!B3</f>
        <v>Hello and welcome to Joes Diner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  <c r="Q19" s="191"/>
      <c r="R19" s="94"/>
      <c r="S19" s="94"/>
      <c r="T19" s="89"/>
      <c r="U19" s="89"/>
    </row>
    <row r="20" spans="1:21" ht="15" customHeight="1" x14ac:dyDescent="0.25">
      <c r="A20" s="94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  <c r="R20" s="94"/>
      <c r="S20" s="94"/>
      <c r="T20" s="89"/>
      <c r="U20" s="89"/>
    </row>
    <row r="21" spans="1:21" ht="15" customHeight="1" x14ac:dyDescent="0.25">
      <c r="A21" s="94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94"/>
      <c r="S21" s="94"/>
      <c r="T21" s="89"/>
      <c r="U21" s="89"/>
    </row>
    <row r="22" spans="1:21" ht="15" customHeight="1" x14ac:dyDescent="0.25">
      <c r="A22" s="94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94"/>
      <c r="S22" s="94"/>
      <c r="T22" s="89"/>
      <c r="U22" s="89"/>
    </row>
    <row r="23" spans="1:21" x14ac:dyDescent="0.25">
      <c r="A23" s="94"/>
      <c r="B23" s="191"/>
      <c r="C23" s="191"/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94"/>
      <c r="S23" s="94"/>
      <c r="T23" s="89"/>
      <c r="U23" s="89"/>
    </row>
    <row r="24" spans="1:21" ht="15" customHeight="1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0"/>
      <c r="U24" s="90"/>
    </row>
    <row r="25" spans="1:21" ht="15" customHeight="1" x14ac:dyDescent="0.25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0"/>
      <c r="U25" s="90"/>
    </row>
  </sheetData>
  <sheetProtection formatCells="0" formatColumns="0" formatRows="0" insertColumns="0" insertRows="0" insertHyperlinks="0" deleteColumns="0" deleteRows="0" sort="0" autoFilter="0" pivotTables="0"/>
  <mergeCells count="5">
    <mergeCell ref="A1:B2"/>
    <mergeCell ref="H2:K4"/>
    <mergeCell ref="I5:J7"/>
    <mergeCell ref="G8:M12"/>
    <mergeCell ref="B19:Q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L26"/>
  <sheetViews>
    <sheetView showGridLines="0" showRowColHeaders="0" workbookViewId="0">
      <selection activeCell="E7" sqref="E7:H8"/>
    </sheetView>
  </sheetViews>
  <sheetFormatPr defaultColWidth="0" defaultRowHeight="15" zeroHeight="1" x14ac:dyDescent="0.25"/>
  <cols>
    <col min="1" max="1" width="11.28515625" style="1" customWidth="1"/>
    <col min="2" max="8" width="9.140625" style="1" customWidth="1"/>
    <col min="9" max="9" width="1.5703125" style="1" customWidth="1"/>
    <col min="10" max="10" width="9.140625" style="1" hidden="1" customWidth="1"/>
    <col min="11" max="12" width="0" style="1" hidden="1" customWidth="1"/>
    <col min="13" max="16384" width="9.140625" style="1" hidden="1"/>
  </cols>
  <sheetData>
    <row r="1" spans="1:9" ht="6" customHeight="1" x14ac:dyDescent="0.25">
      <c r="A1" s="93"/>
      <c r="B1" s="93"/>
      <c r="C1" s="93"/>
      <c r="D1" s="93"/>
      <c r="E1" s="93"/>
      <c r="F1" s="93"/>
      <c r="G1" s="93"/>
      <c r="H1" s="93"/>
      <c r="I1" s="93"/>
    </row>
    <row r="2" spans="1:9" ht="15" customHeight="1" x14ac:dyDescent="0.25">
      <c r="A2" s="93"/>
      <c r="B2" s="117" t="s">
        <v>192</v>
      </c>
      <c r="C2" s="118"/>
      <c r="D2" s="118"/>
      <c r="E2" s="118"/>
      <c r="F2" s="118"/>
      <c r="G2" s="118"/>
      <c r="H2" s="119"/>
      <c r="I2" s="93"/>
    </row>
    <row r="3" spans="1:9" ht="15" customHeight="1" x14ac:dyDescent="0.25">
      <c r="A3" s="93"/>
      <c r="B3" s="120"/>
      <c r="C3" s="121"/>
      <c r="D3" s="121"/>
      <c r="E3" s="121"/>
      <c r="F3" s="121"/>
      <c r="G3" s="121"/>
      <c r="H3" s="122"/>
      <c r="I3" s="93"/>
    </row>
    <row r="4" spans="1:9" ht="15" customHeight="1" x14ac:dyDescent="0.25">
      <c r="A4" s="93"/>
      <c r="B4" s="120"/>
      <c r="C4" s="121"/>
      <c r="D4" s="121"/>
      <c r="E4" s="121"/>
      <c r="F4" s="121"/>
      <c r="G4" s="121"/>
      <c r="H4" s="122"/>
      <c r="I4" s="93"/>
    </row>
    <row r="5" spans="1:9" ht="15" customHeight="1" x14ac:dyDescent="0.25">
      <c r="A5" s="93"/>
      <c r="B5" s="123"/>
      <c r="C5" s="124"/>
      <c r="D5" s="124"/>
      <c r="E5" s="124"/>
      <c r="F5" s="124"/>
      <c r="G5" s="124"/>
      <c r="H5" s="125"/>
      <c r="I5" s="93"/>
    </row>
    <row r="6" spans="1:9" x14ac:dyDescent="0.25">
      <c r="A6" s="93"/>
      <c r="B6" s="93"/>
      <c r="C6" s="93"/>
      <c r="D6" s="93"/>
      <c r="E6" s="93"/>
      <c r="F6" s="93"/>
      <c r="G6" s="93"/>
      <c r="H6" s="93"/>
      <c r="I6" s="93"/>
    </row>
    <row r="7" spans="1:9" x14ac:dyDescent="0.25">
      <c r="A7" s="93"/>
      <c r="B7" s="116" t="s">
        <v>115</v>
      </c>
      <c r="C7" s="116"/>
      <c r="D7" s="116"/>
      <c r="E7" s="127"/>
      <c r="F7" s="127"/>
      <c r="G7" s="127"/>
      <c r="H7" s="127"/>
      <c r="I7" s="93"/>
    </row>
    <row r="8" spans="1:9" x14ac:dyDescent="0.25">
      <c r="A8" s="93"/>
      <c r="B8" s="116"/>
      <c r="C8" s="116"/>
      <c r="D8" s="116"/>
      <c r="E8" s="127"/>
      <c r="F8" s="127"/>
      <c r="G8" s="127"/>
      <c r="H8" s="127"/>
      <c r="I8" s="93"/>
    </row>
    <row r="9" spans="1:9" x14ac:dyDescent="0.25">
      <c r="A9" s="93"/>
      <c r="B9" s="93"/>
      <c r="C9" s="93"/>
      <c r="D9" s="93"/>
      <c r="E9" s="93"/>
      <c r="F9" s="93"/>
      <c r="G9" s="93"/>
      <c r="H9" s="93"/>
      <c r="I9" s="93"/>
    </row>
    <row r="10" spans="1:9" x14ac:dyDescent="0.25">
      <c r="A10" s="93"/>
      <c r="B10" s="116" t="s">
        <v>147</v>
      </c>
      <c r="C10" s="116"/>
      <c r="D10" s="116"/>
      <c r="E10" s="116" t="e">
        <f>VLOOKUP(E7,'customer booking'!B1:J2098,2,0)</f>
        <v>#N/A</v>
      </c>
      <c r="F10" s="116"/>
      <c r="G10" s="116"/>
      <c r="H10" s="116"/>
      <c r="I10" s="93"/>
    </row>
    <row r="11" spans="1:9" x14ac:dyDescent="0.25">
      <c r="A11" s="93"/>
      <c r="B11" s="116"/>
      <c r="C11" s="116"/>
      <c r="D11" s="116"/>
      <c r="E11" s="116"/>
      <c r="F11" s="116"/>
      <c r="G11" s="116"/>
      <c r="H11" s="116"/>
      <c r="I11" s="93"/>
    </row>
    <row r="12" spans="1:9" x14ac:dyDescent="0.25">
      <c r="A12" s="93"/>
      <c r="B12" s="116" t="s">
        <v>161</v>
      </c>
      <c r="C12" s="116"/>
      <c r="D12" s="116"/>
      <c r="E12" s="116" t="e">
        <f>VLOOKUP(E7,'customer booking'!B4:J530,5,0)</f>
        <v>#N/A</v>
      </c>
      <c r="F12" s="116"/>
      <c r="G12" s="116"/>
      <c r="H12" s="116"/>
      <c r="I12" s="93"/>
    </row>
    <row r="13" spans="1:9" x14ac:dyDescent="0.25">
      <c r="A13" s="93"/>
      <c r="B13" s="116"/>
      <c r="C13" s="116"/>
      <c r="D13" s="116"/>
      <c r="E13" s="116"/>
      <c r="F13" s="116"/>
      <c r="G13" s="116"/>
      <c r="H13" s="116"/>
      <c r="I13" s="93"/>
    </row>
    <row r="14" spans="1:9" x14ac:dyDescent="0.25">
      <c r="A14" s="93"/>
      <c r="B14" s="116" t="s">
        <v>162</v>
      </c>
      <c r="C14" s="116"/>
      <c r="D14" s="116"/>
      <c r="E14" s="116" t="e">
        <f>VLOOKUP(E7,'customer booking'!B4:J751,6,0)</f>
        <v>#N/A</v>
      </c>
      <c r="F14" s="116"/>
      <c r="G14" s="116"/>
      <c r="H14" s="116"/>
      <c r="I14" s="93"/>
    </row>
    <row r="15" spans="1:9" x14ac:dyDescent="0.25">
      <c r="A15" s="93"/>
      <c r="B15" s="126"/>
      <c r="C15" s="126"/>
      <c r="D15" s="126"/>
      <c r="E15" s="126"/>
      <c r="F15" s="126"/>
      <c r="G15" s="126"/>
      <c r="H15" s="126"/>
      <c r="I15" s="93"/>
    </row>
    <row r="16" spans="1:9" x14ac:dyDescent="0.25">
      <c r="A16" s="93"/>
      <c r="B16" s="116" t="s">
        <v>168</v>
      </c>
      <c r="C16" s="116"/>
      <c r="D16" s="116"/>
      <c r="E16" s="116" t="e">
        <f>VLOOKUP(E7,'customer booking'!B3:J520,7,0)</f>
        <v>#N/A</v>
      </c>
      <c r="F16" s="116"/>
      <c r="G16" s="116"/>
      <c r="H16" s="116"/>
      <c r="I16" s="93"/>
    </row>
    <row r="17" spans="1:9" x14ac:dyDescent="0.25">
      <c r="A17" s="93"/>
      <c r="B17" s="116"/>
      <c r="C17" s="116"/>
      <c r="D17" s="116"/>
      <c r="E17" s="116"/>
      <c r="F17" s="116"/>
      <c r="G17" s="116"/>
      <c r="H17" s="116"/>
      <c r="I17" s="93"/>
    </row>
    <row r="18" spans="1:9" ht="6.75" customHeight="1" x14ac:dyDescent="0.25">
      <c r="A18" s="93"/>
      <c r="B18" s="94"/>
      <c r="C18" s="94"/>
      <c r="D18" s="94"/>
      <c r="E18" s="94"/>
      <c r="F18" s="94"/>
      <c r="G18" s="94"/>
      <c r="H18" s="94"/>
      <c r="I18" s="93"/>
    </row>
    <row r="19" spans="1:9" ht="9.75" hidden="1" customHeight="1" x14ac:dyDescent="0.25"/>
    <row r="20" spans="1:9" ht="9.75" hidden="1" customHeight="1" x14ac:dyDescent="0.25"/>
    <row r="21" spans="1:9" ht="9.75" hidden="1" customHeight="1" x14ac:dyDescent="0.25"/>
    <row r="22" spans="1:9" ht="9.75" hidden="1" customHeight="1" x14ac:dyDescent="0.25"/>
    <row r="23" spans="1:9" ht="9.75" hidden="1" customHeight="1" x14ac:dyDescent="0.25"/>
    <row r="24" spans="1:9" ht="9.75" hidden="1" customHeight="1" x14ac:dyDescent="0.25"/>
    <row r="25" spans="1:9" ht="9.75" hidden="1" customHeight="1" x14ac:dyDescent="0.25"/>
    <row r="26" spans="1:9" ht="9.75" hidden="1" customHeight="1" x14ac:dyDescent="0.25"/>
  </sheetData>
  <sheetProtection password="CB7F" sheet="1" objects="1" scenarios="1"/>
  <mergeCells count="11">
    <mergeCell ref="B16:D17"/>
    <mergeCell ref="E16:H17"/>
    <mergeCell ref="B2:H5"/>
    <mergeCell ref="B10:D11"/>
    <mergeCell ref="B12:D13"/>
    <mergeCell ref="B14:D15"/>
    <mergeCell ref="B7:D8"/>
    <mergeCell ref="E7:H8"/>
    <mergeCell ref="E10:H11"/>
    <mergeCell ref="E12:H13"/>
    <mergeCell ref="E14:H1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:I24"/>
  <sheetViews>
    <sheetView showGridLines="0" showRowColHeaders="0" workbookViewId="0">
      <selection activeCell="A6" sqref="A6"/>
    </sheetView>
  </sheetViews>
  <sheetFormatPr defaultColWidth="0" defaultRowHeight="15" zeroHeight="1" x14ac:dyDescent="0.25"/>
  <cols>
    <col min="1" max="1" width="11.42578125" style="1" customWidth="1"/>
    <col min="2" max="8" width="9.140625" style="1" customWidth="1"/>
    <col min="9" max="9" width="2.28515625" style="1" customWidth="1"/>
    <col min="10" max="10" width="9.140625" style="1" hidden="1" customWidth="1"/>
    <col min="11" max="16384" width="9.140625" style="1" hidden="1"/>
  </cols>
  <sheetData>
    <row r="1" spans="1:9" ht="5.25" customHeight="1" x14ac:dyDescent="0.25">
      <c r="A1" s="90"/>
      <c r="B1" s="90"/>
      <c r="C1" s="90"/>
      <c r="D1" s="90"/>
      <c r="E1" s="90"/>
      <c r="F1" s="90"/>
      <c r="G1" s="90"/>
      <c r="H1" s="90"/>
      <c r="I1" s="90"/>
    </row>
    <row r="2" spans="1:9" ht="15" customHeight="1" x14ac:dyDescent="0.25">
      <c r="A2" s="93"/>
      <c r="B2" s="117" t="s">
        <v>193</v>
      </c>
      <c r="C2" s="118"/>
      <c r="D2" s="118"/>
      <c r="E2" s="118"/>
      <c r="F2" s="118"/>
      <c r="G2" s="118"/>
      <c r="H2" s="119"/>
      <c r="I2" s="93"/>
    </row>
    <row r="3" spans="1:9" ht="15" customHeight="1" x14ac:dyDescent="0.25">
      <c r="A3" s="93"/>
      <c r="B3" s="120"/>
      <c r="C3" s="121"/>
      <c r="D3" s="121"/>
      <c r="E3" s="121"/>
      <c r="F3" s="121"/>
      <c r="G3" s="121"/>
      <c r="H3" s="122"/>
      <c r="I3" s="93"/>
    </row>
    <row r="4" spans="1:9" ht="15" customHeight="1" x14ac:dyDescent="0.25">
      <c r="A4" s="93"/>
      <c r="B4" s="120"/>
      <c r="C4" s="121"/>
      <c r="D4" s="121"/>
      <c r="E4" s="121"/>
      <c r="F4" s="121"/>
      <c r="G4" s="121"/>
      <c r="H4" s="122"/>
      <c r="I4" s="93"/>
    </row>
    <row r="5" spans="1:9" ht="15.75" customHeight="1" x14ac:dyDescent="0.25">
      <c r="A5" s="93"/>
      <c r="B5" s="123"/>
      <c r="C5" s="124"/>
      <c r="D5" s="124"/>
      <c r="E5" s="124"/>
      <c r="F5" s="124"/>
      <c r="G5" s="124"/>
      <c r="H5" s="125"/>
      <c r="I5" s="93"/>
    </row>
    <row r="6" spans="1:9" x14ac:dyDescent="0.25">
      <c r="A6" s="93"/>
      <c r="B6" s="93"/>
      <c r="C6" s="93"/>
      <c r="D6" s="93"/>
      <c r="E6" s="93"/>
      <c r="F6" s="93"/>
      <c r="G6" s="93"/>
      <c r="H6" s="93"/>
      <c r="I6" s="93"/>
    </row>
    <row r="7" spans="1:9" x14ac:dyDescent="0.25">
      <c r="A7" s="93"/>
      <c r="B7" s="116" t="s">
        <v>173</v>
      </c>
      <c r="C7" s="116"/>
      <c r="D7" s="116"/>
      <c r="E7" s="127"/>
      <c r="F7" s="127"/>
      <c r="G7" s="127"/>
      <c r="H7" s="127"/>
      <c r="I7" s="93"/>
    </row>
    <row r="8" spans="1:9" x14ac:dyDescent="0.25">
      <c r="A8" s="93"/>
      <c r="B8" s="116"/>
      <c r="C8" s="116"/>
      <c r="D8" s="116"/>
      <c r="E8" s="127"/>
      <c r="F8" s="127"/>
      <c r="G8" s="127"/>
      <c r="H8" s="127"/>
      <c r="I8" s="93"/>
    </row>
    <row r="9" spans="1:9" x14ac:dyDescent="0.25">
      <c r="A9" s="93"/>
      <c r="B9" s="93"/>
      <c r="C9" s="93"/>
      <c r="D9" s="93"/>
      <c r="E9" s="93"/>
      <c r="F9" s="93"/>
      <c r="G9" s="93"/>
      <c r="H9" s="93"/>
      <c r="I9" s="93"/>
    </row>
    <row r="10" spans="1:9" x14ac:dyDescent="0.25">
      <c r="A10" s="93"/>
      <c r="B10" s="116" t="s">
        <v>171</v>
      </c>
      <c r="C10" s="116"/>
      <c r="D10" s="116"/>
      <c r="E10" s="129" t="str">
        <f>VLOOKUP(E7,'Staff details'!B2:M20,12,0)</f>
        <v>Chef</v>
      </c>
      <c r="F10" s="129"/>
      <c r="G10" s="129"/>
      <c r="H10" s="129"/>
      <c r="I10" s="93"/>
    </row>
    <row r="11" spans="1:9" x14ac:dyDescent="0.25">
      <c r="A11" s="93"/>
      <c r="B11" s="116"/>
      <c r="C11" s="116"/>
      <c r="D11" s="116"/>
      <c r="E11" s="129"/>
      <c r="F11" s="129"/>
      <c r="G11" s="129"/>
      <c r="H11" s="129"/>
      <c r="I11" s="93"/>
    </row>
    <row r="12" spans="1:9" x14ac:dyDescent="0.25">
      <c r="A12" s="93"/>
      <c r="B12" s="116" t="s">
        <v>113</v>
      </c>
      <c r="C12" s="116"/>
      <c r="D12" s="116"/>
      <c r="E12" s="116">
        <f>VLOOKUP(E7,'Staff details'!B2:M20,7,0)</f>
        <v>0</v>
      </c>
      <c r="F12" s="116"/>
      <c r="G12" s="116"/>
      <c r="H12" s="116"/>
      <c r="I12" s="93"/>
    </row>
    <row r="13" spans="1:9" x14ac:dyDescent="0.25">
      <c r="A13" s="93"/>
      <c r="B13" s="116"/>
      <c r="C13" s="116"/>
      <c r="D13" s="116"/>
      <c r="E13" s="116"/>
      <c r="F13" s="116"/>
      <c r="G13" s="116"/>
      <c r="H13" s="116"/>
      <c r="I13" s="93"/>
    </row>
    <row r="14" spans="1:9" x14ac:dyDescent="0.25">
      <c r="A14" s="93"/>
      <c r="B14" s="116" t="s">
        <v>227</v>
      </c>
      <c r="C14" s="116"/>
      <c r="D14" s="116"/>
      <c r="E14" s="128">
        <f>VLOOKUP(E7,'Staff details'!B2:M20,11,0)</f>
        <v>0</v>
      </c>
      <c r="F14" s="128"/>
      <c r="G14" s="128"/>
      <c r="H14" s="128"/>
      <c r="I14" s="93"/>
    </row>
    <row r="15" spans="1:9" x14ac:dyDescent="0.25">
      <c r="A15" s="93"/>
      <c r="B15" s="116"/>
      <c r="C15" s="116"/>
      <c r="D15" s="116"/>
      <c r="E15" s="128"/>
      <c r="F15" s="128"/>
      <c r="G15" s="128"/>
      <c r="H15" s="128"/>
      <c r="I15" s="93"/>
    </row>
    <row r="16" spans="1:9" x14ac:dyDescent="0.25">
      <c r="A16" s="93"/>
      <c r="B16" s="116" t="s">
        <v>154</v>
      </c>
      <c r="C16" s="116"/>
      <c r="D16" s="116"/>
      <c r="E16" s="116">
        <f>VLOOKUP(E7,'Staff details'!B2:M20,4,0)</f>
        <v>0</v>
      </c>
      <c r="F16" s="116">
        <f>VLOOKUP(E7,'Staff details'!B2:M20,5,0)</f>
        <v>0</v>
      </c>
      <c r="G16" s="116">
        <f>VLOOKUP(E7,'Staff details'!B2:M20,6,0)</f>
        <v>0</v>
      </c>
      <c r="H16" s="93"/>
      <c r="I16" s="93"/>
    </row>
    <row r="17" spans="1:9" x14ac:dyDescent="0.25">
      <c r="A17" s="93"/>
      <c r="B17" s="116"/>
      <c r="C17" s="116"/>
      <c r="D17" s="116"/>
      <c r="E17" s="116"/>
      <c r="F17" s="116"/>
      <c r="G17" s="116"/>
      <c r="H17" s="93"/>
      <c r="I17" s="93"/>
    </row>
    <row r="18" spans="1:9" ht="6" customHeight="1" x14ac:dyDescent="0.25">
      <c r="A18" s="93"/>
      <c r="B18" s="93"/>
      <c r="C18" s="93"/>
      <c r="D18" s="93"/>
      <c r="E18" s="93"/>
      <c r="F18" s="93"/>
      <c r="G18" s="93"/>
      <c r="H18" s="93"/>
      <c r="I18" s="93"/>
    </row>
    <row r="19" spans="1:9" hidden="1" x14ac:dyDescent="0.25"/>
    <row r="20" spans="1:9" hidden="1" x14ac:dyDescent="0.25"/>
    <row r="21" spans="1:9" hidden="1" x14ac:dyDescent="0.25"/>
    <row r="22" spans="1:9" hidden="1" x14ac:dyDescent="0.25"/>
    <row r="23" spans="1:9" hidden="1" x14ac:dyDescent="0.25"/>
    <row r="24" spans="1:9" hidden="1" x14ac:dyDescent="0.25"/>
  </sheetData>
  <sheetProtection password="CB7F" sheet="1" objects="1" scenarios="1"/>
  <mergeCells count="13">
    <mergeCell ref="B2:H5"/>
    <mergeCell ref="B16:D17"/>
    <mergeCell ref="E16:E17"/>
    <mergeCell ref="F16:F17"/>
    <mergeCell ref="G16:G17"/>
    <mergeCell ref="B14:D15"/>
    <mergeCell ref="E14:H15"/>
    <mergeCell ref="B12:D13"/>
    <mergeCell ref="E12:H13"/>
    <mergeCell ref="B7:D8"/>
    <mergeCell ref="E7:H8"/>
    <mergeCell ref="B10:D11"/>
    <mergeCell ref="E10:H1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-0.249977111117893"/>
  </sheetPr>
  <dimension ref="A1:Q33"/>
  <sheetViews>
    <sheetView showGridLines="0" zoomScaleNormal="100" workbookViewId="0">
      <selection activeCell="C19" sqref="C19:G19"/>
    </sheetView>
  </sheetViews>
  <sheetFormatPr defaultColWidth="0" defaultRowHeight="15" zeroHeight="1" x14ac:dyDescent="0.25"/>
  <cols>
    <col min="1" max="1" width="9.140625" style="2" customWidth="1"/>
    <col min="2" max="2" width="22" style="2" bestFit="1" customWidth="1"/>
    <col min="3" max="3" width="9.140625" style="2" customWidth="1"/>
    <col min="4" max="4" width="11.85546875" style="2" customWidth="1"/>
    <col min="5" max="6" width="9.140625" style="2" customWidth="1"/>
    <col min="7" max="7" width="6.28515625" style="2" customWidth="1"/>
    <col min="8" max="10" width="9.140625" style="2" customWidth="1"/>
    <col min="11" max="11" width="22" style="2" bestFit="1" customWidth="1"/>
    <col min="12" max="12" width="22.42578125" style="2" customWidth="1"/>
    <col min="13" max="14" width="9.140625" style="2" customWidth="1"/>
    <col min="15" max="16" width="9.140625" style="2" hidden="1" customWidth="1"/>
    <col min="17" max="17" width="0" style="2" hidden="1" customWidth="1"/>
    <col min="18" max="16384" width="9.140625" style="2" hidden="1"/>
  </cols>
  <sheetData>
    <row r="1" spans="1:17" x14ac:dyDescent="0.2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</row>
    <row r="2" spans="1:17" x14ac:dyDescent="0.2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7" x14ac:dyDescent="0.25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7" x14ac:dyDescent="0.25">
      <c r="A4" s="95"/>
      <c r="B4" s="130" t="s">
        <v>3</v>
      </c>
      <c r="C4" s="130"/>
      <c r="D4" s="130"/>
      <c r="E4" s="130"/>
      <c r="F4" s="130"/>
      <c r="G4" s="130"/>
      <c r="H4" s="130"/>
      <c r="I4" s="95"/>
      <c r="J4" s="95"/>
      <c r="K4" s="95"/>
      <c r="L4" s="95"/>
      <c r="M4" s="95"/>
      <c r="N4" s="95"/>
    </row>
    <row r="5" spans="1:17" x14ac:dyDescent="0.25">
      <c r="A5" s="95"/>
      <c r="B5" s="130"/>
      <c r="C5" s="130"/>
      <c r="D5" s="130"/>
      <c r="E5" s="130"/>
      <c r="F5" s="130"/>
      <c r="G5" s="130"/>
      <c r="H5" s="130"/>
      <c r="I5" s="95"/>
      <c r="J5" s="95"/>
      <c r="K5" s="95"/>
      <c r="L5" s="95"/>
      <c r="M5" s="95"/>
      <c r="N5" s="95"/>
    </row>
    <row r="6" spans="1:17" ht="16.5" customHeight="1" x14ac:dyDescent="0.25">
      <c r="A6" s="95"/>
      <c r="B6" s="130"/>
      <c r="C6" s="130"/>
      <c r="D6" s="130"/>
      <c r="E6" s="130"/>
      <c r="F6" s="130"/>
      <c r="G6" s="130"/>
      <c r="H6" s="130"/>
      <c r="I6" s="95"/>
      <c r="J6" s="95"/>
      <c r="K6" s="95"/>
      <c r="L6" s="95"/>
      <c r="M6" s="95"/>
      <c r="N6" s="95"/>
    </row>
    <row r="7" spans="1:17" x14ac:dyDescent="0.25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pans="1:17" ht="13.5" customHeight="1" x14ac:dyDescent="0.25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</row>
    <row r="9" spans="1:17" ht="15.75" thickBot="1" x14ac:dyDescent="0.3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</row>
    <row r="10" spans="1:17" x14ac:dyDescent="0.25">
      <c r="A10" s="95"/>
      <c r="B10" s="95"/>
      <c r="C10" s="135"/>
      <c r="D10" s="135"/>
      <c r="E10" s="135"/>
      <c r="F10" s="135"/>
      <c r="G10" s="135"/>
      <c r="H10" s="95"/>
      <c r="I10" s="95"/>
      <c r="J10" s="96"/>
      <c r="K10" s="97"/>
      <c r="L10" s="97"/>
      <c r="M10" s="98"/>
      <c r="N10" s="95"/>
    </row>
    <row r="11" spans="1:17" x14ac:dyDescent="0.25">
      <c r="A11" s="95"/>
      <c r="B11" s="95"/>
      <c r="C11" s="95"/>
      <c r="D11" s="95"/>
      <c r="E11" s="95"/>
      <c r="F11" s="95"/>
      <c r="G11" s="95"/>
      <c r="H11" s="95"/>
      <c r="I11" s="95"/>
      <c r="J11" s="99"/>
      <c r="K11" s="100" t="s">
        <v>42</v>
      </c>
      <c r="L11" s="101" t="str">
        <f>IF(Q14=1,"Mr",IF(Q14=2,"Mrs",IF(Q14=3,"Miss")))</f>
        <v>Mr</v>
      </c>
      <c r="M11" s="102"/>
      <c r="N11" s="95"/>
    </row>
    <row r="12" spans="1:17" x14ac:dyDescent="0.25">
      <c r="A12" s="95"/>
      <c r="B12" s="95"/>
      <c r="C12" s="95"/>
      <c r="D12" s="95"/>
      <c r="E12" s="95"/>
      <c r="F12" s="95"/>
      <c r="G12" s="95"/>
      <c r="H12" s="95"/>
      <c r="I12" s="95"/>
      <c r="J12" s="99"/>
      <c r="K12" s="100" t="s">
        <v>43</v>
      </c>
      <c r="L12" s="101" t="str">
        <f>C15</f>
        <v>-</v>
      </c>
      <c r="M12" s="102"/>
      <c r="N12" s="95"/>
    </row>
    <row r="13" spans="1:17" x14ac:dyDescent="0.25">
      <c r="A13" s="95"/>
      <c r="B13" s="95"/>
      <c r="C13" s="95"/>
      <c r="D13" s="95"/>
      <c r="E13" s="95"/>
      <c r="F13" s="95"/>
      <c r="G13" s="95"/>
      <c r="H13" s="95"/>
      <c r="I13" s="95"/>
      <c r="J13" s="99"/>
      <c r="K13" s="100" t="s">
        <v>44</v>
      </c>
      <c r="L13" s="101">
        <f>C16</f>
        <v>0</v>
      </c>
      <c r="M13" s="102"/>
      <c r="N13" s="95"/>
    </row>
    <row r="14" spans="1:17" x14ac:dyDescent="0.25">
      <c r="A14" s="95"/>
      <c r="B14" s="100" t="s">
        <v>42</v>
      </c>
      <c r="C14" s="103"/>
      <c r="D14" s="104"/>
      <c r="E14" s="104"/>
      <c r="F14" s="104"/>
      <c r="G14" s="104"/>
      <c r="H14" s="95"/>
      <c r="I14" s="95"/>
      <c r="J14" s="99"/>
      <c r="K14" s="100" t="s">
        <v>45</v>
      </c>
      <c r="L14" s="101">
        <f>C18</f>
        <v>0</v>
      </c>
      <c r="M14" s="102"/>
      <c r="N14" s="95"/>
      <c r="Q14" s="2">
        <v>1</v>
      </c>
    </row>
    <row r="15" spans="1:17" x14ac:dyDescent="0.25">
      <c r="A15" s="95"/>
      <c r="B15" s="100" t="s">
        <v>43</v>
      </c>
      <c r="C15" s="134" t="s">
        <v>188</v>
      </c>
      <c r="D15" s="134"/>
      <c r="E15" s="134"/>
      <c r="F15" s="134"/>
      <c r="G15" s="134"/>
      <c r="H15" s="95"/>
      <c r="I15" s="95"/>
      <c r="J15" s="99"/>
      <c r="K15" s="100" t="s">
        <v>4</v>
      </c>
      <c r="L15" s="101">
        <f>C19</f>
        <v>0</v>
      </c>
      <c r="M15" s="102"/>
      <c r="N15" s="95"/>
    </row>
    <row r="16" spans="1:17" x14ac:dyDescent="0.25">
      <c r="A16" s="95"/>
      <c r="B16" s="100" t="s">
        <v>44</v>
      </c>
      <c r="C16" s="134"/>
      <c r="D16" s="134"/>
      <c r="E16" s="134"/>
      <c r="F16" s="134"/>
      <c r="G16" s="134"/>
      <c r="H16" s="95"/>
      <c r="I16" s="95"/>
      <c r="J16" s="99"/>
      <c r="K16" s="100" t="s">
        <v>229</v>
      </c>
      <c r="L16" s="101" t="str">
        <f>IF(Q22=1,"DayTime",IF(Q22=2,"Lunchtime",IF(Q22=3,"Evening")))</f>
        <v>Evening</v>
      </c>
      <c r="M16" s="102"/>
      <c r="N16" s="95"/>
    </row>
    <row r="17" spans="1:17" x14ac:dyDescent="0.25">
      <c r="A17" s="95"/>
      <c r="B17" s="95"/>
      <c r="C17" s="104"/>
      <c r="D17" s="104"/>
      <c r="E17" s="104"/>
      <c r="F17" s="104"/>
      <c r="G17" s="104"/>
      <c r="H17" s="95"/>
      <c r="I17" s="95"/>
      <c r="J17" s="99"/>
      <c r="K17" s="100" t="s">
        <v>165</v>
      </c>
      <c r="L17" s="101" t="str">
        <f>IF(Q23=1,"1",IF(Q23=2,"2",IF(Q23=3,"3",IF(Q23=4,"4",IF(Q23=5,"5",IF(Q23=6,"6"))))))</f>
        <v>2</v>
      </c>
      <c r="M17" s="102"/>
      <c r="N17" s="95"/>
    </row>
    <row r="18" spans="1:17" x14ac:dyDescent="0.25">
      <c r="A18" s="95"/>
      <c r="B18" s="100" t="s">
        <v>45</v>
      </c>
      <c r="C18" s="136"/>
      <c r="D18" s="137"/>
      <c r="E18" s="137"/>
      <c r="F18" s="137"/>
      <c r="G18" s="138"/>
      <c r="H18" s="95"/>
      <c r="I18" s="95"/>
      <c r="J18" s="99"/>
      <c r="K18" s="103" t="s">
        <v>168</v>
      </c>
      <c r="L18" s="101">
        <f>C22</f>
        <v>0</v>
      </c>
      <c r="M18" s="102"/>
      <c r="N18" s="95"/>
    </row>
    <row r="19" spans="1:17" x14ac:dyDescent="0.25">
      <c r="A19" s="95"/>
      <c r="B19" s="100" t="s">
        <v>4</v>
      </c>
      <c r="C19" s="139"/>
      <c r="D19" s="140"/>
      <c r="E19" s="140"/>
      <c r="F19" s="140"/>
      <c r="G19" s="141"/>
      <c r="H19" s="95"/>
      <c r="I19" s="81"/>
      <c r="J19" s="99"/>
      <c r="K19" s="100" t="s">
        <v>46</v>
      </c>
      <c r="L19" s="101">
        <f>C24</f>
        <v>0</v>
      </c>
      <c r="M19" s="102"/>
      <c r="N19" s="95"/>
    </row>
    <row r="20" spans="1:17" x14ac:dyDescent="0.25">
      <c r="A20" s="95"/>
      <c r="B20" s="105" t="s">
        <v>229</v>
      </c>
      <c r="C20" s="106"/>
      <c r="D20" s="106"/>
      <c r="E20" s="106"/>
      <c r="F20" s="106"/>
      <c r="G20" s="106"/>
      <c r="H20" s="95"/>
      <c r="I20" s="95"/>
      <c r="J20" s="99"/>
      <c r="K20" s="100" t="s">
        <v>47</v>
      </c>
      <c r="L20" s="101">
        <f>C25</f>
        <v>0</v>
      </c>
      <c r="M20" s="102"/>
      <c r="N20" s="95"/>
    </row>
    <row r="21" spans="1:17" x14ac:dyDescent="0.25">
      <c r="A21" s="95"/>
      <c r="B21" s="100" t="s">
        <v>164</v>
      </c>
      <c r="C21" s="107"/>
      <c r="D21" s="108"/>
      <c r="E21" s="108"/>
      <c r="F21" s="108"/>
      <c r="G21" s="109"/>
      <c r="H21" s="95"/>
      <c r="I21" s="95"/>
      <c r="J21" s="99"/>
      <c r="K21" s="95"/>
      <c r="L21" s="95"/>
      <c r="M21" s="102"/>
      <c r="N21" s="95"/>
    </row>
    <row r="22" spans="1:17" x14ac:dyDescent="0.25">
      <c r="A22" s="95"/>
      <c r="B22" s="100" t="s">
        <v>168</v>
      </c>
      <c r="C22" s="131">
        <v>0</v>
      </c>
      <c r="D22" s="132"/>
      <c r="E22" s="132"/>
      <c r="F22" s="132"/>
      <c r="G22" s="133"/>
      <c r="H22" s="95"/>
      <c r="I22" s="95"/>
      <c r="J22" s="99"/>
      <c r="K22" s="93"/>
      <c r="L22" s="93"/>
      <c r="M22" s="102"/>
      <c r="N22" s="95"/>
      <c r="Q22" s="2">
        <v>3</v>
      </c>
    </row>
    <row r="23" spans="1:17" x14ac:dyDescent="0.25">
      <c r="A23" s="95"/>
      <c r="B23" s="95"/>
      <c r="C23" s="104"/>
      <c r="D23" s="104"/>
      <c r="E23" s="104"/>
      <c r="F23" s="104"/>
      <c r="G23" s="104"/>
      <c r="H23" s="95"/>
      <c r="I23" s="95"/>
      <c r="J23" s="99"/>
      <c r="K23" s="93"/>
      <c r="L23" s="93"/>
      <c r="M23" s="102"/>
      <c r="N23" s="95"/>
      <c r="Q23" s="2">
        <v>2</v>
      </c>
    </row>
    <row r="24" spans="1:17" ht="15.75" thickBot="1" x14ac:dyDescent="0.3">
      <c r="A24" s="95"/>
      <c r="B24" s="100" t="s">
        <v>46</v>
      </c>
      <c r="C24" s="131"/>
      <c r="D24" s="132"/>
      <c r="E24" s="132"/>
      <c r="F24" s="132"/>
      <c r="G24" s="133"/>
      <c r="H24" s="95"/>
      <c r="I24" s="95"/>
      <c r="J24" s="110"/>
      <c r="K24" s="111"/>
      <c r="L24" s="111"/>
      <c r="M24" s="112"/>
      <c r="N24" s="95"/>
    </row>
    <row r="25" spans="1:17" x14ac:dyDescent="0.25">
      <c r="A25" s="95"/>
      <c r="B25" s="100" t="s">
        <v>47</v>
      </c>
      <c r="C25" s="133"/>
      <c r="D25" s="134"/>
      <c r="E25" s="134"/>
      <c r="F25" s="134"/>
      <c r="G25" s="134"/>
      <c r="H25" s="95"/>
      <c r="I25" s="93"/>
      <c r="J25" s="93"/>
      <c r="K25" s="93"/>
      <c r="L25" s="93"/>
      <c r="M25" s="93"/>
      <c r="N25" s="93"/>
    </row>
    <row r="26" spans="1:17" x14ac:dyDescent="0.25">
      <c r="A26" s="95"/>
      <c r="B26" s="113"/>
      <c r="C26" s="113"/>
      <c r="D26" s="113"/>
      <c r="E26" s="113"/>
      <c r="F26" s="113"/>
      <c r="G26" s="113"/>
      <c r="H26" s="95"/>
      <c r="I26" s="93"/>
      <c r="J26" s="93"/>
      <c r="K26" s="93"/>
      <c r="L26" s="93"/>
      <c r="M26" s="93"/>
      <c r="N26" s="93"/>
    </row>
    <row r="27" spans="1:17" x14ac:dyDescent="0.25">
      <c r="A27" s="95"/>
      <c r="B27" s="114"/>
      <c r="C27" s="114"/>
      <c r="D27" s="114"/>
      <c r="E27" s="114"/>
      <c r="F27" s="114"/>
      <c r="G27" s="114"/>
      <c r="H27" s="95"/>
      <c r="I27" s="93"/>
      <c r="J27" s="93"/>
      <c r="K27" s="93"/>
      <c r="L27" s="93"/>
      <c r="M27" s="93"/>
      <c r="N27" s="93"/>
    </row>
    <row r="28" spans="1:17" x14ac:dyDescent="0.25">
      <c r="A28" s="95"/>
      <c r="B28" s="114"/>
      <c r="C28" s="114"/>
      <c r="D28" s="114"/>
      <c r="E28" s="114"/>
      <c r="F28" s="114"/>
      <c r="G28" s="114"/>
      <c r="H28" s="95"/>
      <c r="I28" s="93"/>
      <c r="J28" s="93"/>
      <c r="K28" s="93"/>
      <c r="L28" s="93"/>
      <c r="M28" s="93"/>
      <c r="N28" s="93"/>
    </row>
    <row r="29" spans="1:17" hidden="1" x14ac:dyDescent="0.25">
      <c r="I29" s="1"/>
      <c r="J29" s="1"/>
      <c r="K29" s="1"/>
      <c r="L29" s="1"/>
      <c r="M29" s="1"/>
      <c r="N29" s="1"/>
    </row>
    <row r="30" spans="1:17" hidden="1" x14ac:dyDescent="0.25">
      <c r="I30" s="1"/>
      <c r="J30" s="1"/>
      <c r="K30" s="1"/>
      <c r="L30" s="1"/>
      <c r="M30" s="1"/>
      <c r="N30" s="1"/>
    </row>
    <row r="31" spans="1:17" hidden="1" x14ac:dyDescent="0.25">
      <c r="I31" s="1"/>
      <c r="J31" s="1"/>
      <c r="K31" s="1"/>
      <c r="L31" s="1"/>
      <c r="M31" s="1"/>
      <c r="N31" s="1"/>
    </row>
    <row r="32" spans="1:17" hidden="1" x14ac:dyDescent="0.25">
      <c r="I32" s="1"/>
      <c r="J32" s="1"/>
      <c r="K32" s="1"/>
      <c r="L32" s="1"/>
      <c r="M32" s="1"/>
      <c r="N32" s="1"/>
    </row>
    <row r="33" spans="9:14" hidden="1" x14ac:dyDescent="0.25">
      <c r="I33" s="1"/>
      <c r="J33" s="1"/>
      <c r="K33" s="1"/>
      <c r="L33" s="1"/>
      <c r="M33" s="1"/>
      <c r="N33" s="1"/>
    </row>
  </sheetData>
  <sheetProtection password="CB7F" sheet="1" objects="1" scenarios="1"/>
  <mergeCells count="10">
    <mergeCell ref="B4:H6"/>
    <mergeCell ref="C24:G24"/>
    <mergeCell ref="C25:G25"/>
    <mergeCell ref="C16:G16"/>
    <mergeCell ref="C15:G15"/>
    <mergeCell ref="E10:G10"/>
    <mergeCell ref="C10:D10"/>
    <mergeCell ref="C18:G18"/>
    <mergeCell ref="C22:G22"/>
    <mergeCell ref="C19:G19"/>
  </mergeCells>
  <conditionalFormatting sqref="C18 C15:G16 C14 C24:G25">
    <cfRule type="containsBlanks" dxfId="19" priority="9">
      <formula>LEN(TRIM(C14))=0</formula>
    </cfRule>
  </conditionalFormatting>
  <conditionalFormatting sqref="C14 C15:G16 C18 C24:G25">
    <cfRule type="notContainsBlanks" dxfId="18" priority="8">
      <formula>LEN(TRIM(C14))&gt;0</formula>
    </cfRule>
  </conditionalFormatting>
  <conditionalFormatting sqref="C20:G20 C19">
    <cfRule type="notContainsBlanks" dxfId="17" priority="7">
      <formula>LEN(TRIM(C19))&gt;0</formula>
    </cfRule>
  </conditionalFormatting>
  <conditionalFormatting sqref="C18:G18">
    <cfRule type="containsText" priority="5" operator="containsText" text="0">
      <formula>NOT(ISERROR(SEARCH("0",C18)))</formula>
    </cfRule>
  </conditionalFormatting>
  <conditionalFormatting sqref="C22:G22">
    <cfRule type="cellIs" dxfId="16" priority="1" operator="equal">
      <formula>0</formula>
    </cfRule>
    <cfRule type="cellIs" dxfId="15" priority="3" operator="between">
      <formula>1</formula>
      <formula>10</formula>
    </cfRule>
  </conditionalFormatting>
  <dataValidations count="1">
    <dataValidation showInputMessage="1" showErrorMessage="1" sqref="C15:G15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7</xdr:col>
                    <xdr:colOff>19050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7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Sheet2!$D$2:$D$12</xm:f>
          </x14:formula1>
          <xm:sqref>C22:G22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-0.249977111117893"/>
  </sheetPr>
  <dimension ref="A1:D12"/>
  <sheetViews>
    <sheetView workbookViewId="0">
      <selection activeCell="E7" sqref="E6:E7"/>
    </sheetView>
  </sheetViews>
  <sheetFormatPr defaultRowHeight="15" x14ac:dyDescent="0.25"/>
  <cols>
    <col min="1" max="1" width="9.140625" style="2"/>
    <col min="2" max="2" width="10.5703125" style="2" bestFit="1" customWidth="1"/>
    <col min="3" max="3" width="17.28515625" style="2" bestFit="1" customWidth="1"/>
    <col min="4" max="16384" width="9.140625" style="2"/>
  </cols>
  <sheetData>
    <row r="1" spans="1:4" x14ac:dyDescent="0.25">
      <c r="A1" s="2" t="s">
        <v>64</v>
      </c>
      <c r="B1" s="2" t="s">
        <v>65</v>
      </c>
      <c r="C1" s="2" t="s">
        <v>163</v>
      </c>
      <c r="D1" s="2" t="s">
        <v>168</v>
      </c>
    </row>
    <row r="2" spans="1:4" x14ac:dyDescent="0.25">
      <c r="A2" s="2" t="s">
        <v>66</v>
      </c>
      <c r="B2" s="2" t="s">
        <v>70</v>
      </c>
      <c r="C2" s="2">
        <v>1</v>
      </c>
      <c r="D2" s="2">
        <v>0</v>
      </c>
    </row>
    <row r="3" spans="1:4" x14ac:dyDescent="0.25">
      <c r="A3" s="2" t="s">
        <v>67</v>
      </c>
      <c r="B3" s="2" t="s">
        <v>71</v>
      </c>
      <c r="C3" s="2">
        <v>2</v>
      </c>
      <c r="D3" s="2">
        <v>1</v>
      </c>
    </row>
    <row r="4" spans="1:4" x14ac:dyDescent="0.25">
      <c r="A4" s="2" t="s">
        <v>68</v>
      </c>
      <c r="B4" s="2" t="s">
        <v>69</v>
      </c>
      <c r="C4" s="2">
        <v>3</v>
      </c>
      <c r="D4" s="2">
        <v>2</v>
      </c>
    </row>
    <row r="5" spans="1:4" x14ac:dyDescent="0.25">
      <c r="C5" s="2">
        <v>4</v>
      </c>
      <c r="D5" s="2">
        <v>3</v>
      </c>
    </row>
    <row r="6" spans="1:4" x14ac:dyDescent="0.25">
      <c r="C6" s="2">
        <v>5</v>
      </c>
      <c r="D6" s="2">
        <v>4</v>
      </c>
    </row>
    <row r="7" spans="1:4" x14ac:dyDescent="0.25">
      <c r="C7" s="2">
        <v>6</v>
      </c>
      <c r="D7" s="2">
        <v>5</v>
      </c>
    </row>
    <row r="8" spans="1:4" x14ac:dyDescent="0.25">
      <c r="D8" s="2">
        <v>6</v>
      </c>
    </row>
    <row r="9" spans="1:4" x14ac:dyDescent="0.25">
      <c r="D9" s="2">
        <v>7</v>
      </c>
    </row>
    <row r="10" spans="1:4" x14ac:dyDescent="0.25">
      <c r="D10" s="2">
        <v>8</v>
      </c>
    </row>
    <row r="11" spans="1:4" x14ac:dyDescent="0.25">
      <c r="D11" s="2">
        <v>9</v>
      </c>
    </row>
    <row r="12" spans="1:4" x14ac:dyDescent="0.25">
      <c r="D12" s="2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-0.249977111117893"/>
  </sheetPr>
  <dimension ref="A1:M8"/>
  <sheetViews>
    <sheetView showGridLines="0" showRowColHeaders="0" workbookViewId="0">
      <selection activeCell="H6" sqref="H6"/>
    </sheetView>
  </sheetViews>
  <sheetFormatPr defaultColWidth="0" defaultRowHeight="15" x14ac:dyDescent="0.25"/>
  <cols>
    <col min="1" max="1" width="5" style="25" bestFit="1" customWidth="1"/>
    <col min="2" max="2" width="17.7109375" style="25" customWidth="1"/>
    <col min="3" max="3" width="15" style="25" customWidth="1"/>
    <col min="4" max="4" width="14.5703125" style="25" bestFit="1" customWidth="1"/>
    <col min="5" max="5" width="25.5703125" style="25" customWidth="1"/>
    <col min="6" max="6" width="12.7109375" style="25" bestFit="1" customWidth="1"/>
    <col min="7" max="7" width="16.7109375" style="25" customWidth="1"/>
    <col min="8" max="8" width="13.7109375" style="25" bestFit="1" customWidth="1"/>
    <col min="9" max="9" width="20" style="25" customWidth="1"/>
    <col min="10" max="10" width="9.85546875" style="25" bestFit="1" customWidth="1"/>
    <col min="11" max="12" width="9.85546875" style="1" customWidth="1"/>
    <col min="13" max="13" width="0" style="2" hidden="1" customWidth="1"/>
    <col min="14" max="16384" width="9.140625" style="2" hidden="1"/>
  </cols>
  <sheetData>
    <row r="1" spans="1:12" s="24" customFormat="1" ht="15.75" customHeight="1" x14ac:dyDescent="0.25">
      <c r="A1" s="22" t="s">
        <v>116</v>
      </c>
      <c r="B1" s="22" t="s">
        <v>115</v>
      </c>
      <c r="C1" s="22" t="s">
        <v>216</v>
      </c>
      <c r="D1" s="22" t="s">
        <v>114</v>
      </c>
      <c r="E1" s="22" t="s">
        <v>166</v>
      </c>
      <c r="F1" s="22" t="s">
        <v>167</v>
      </c>
      <c r="G1" s="22" t="s">
        <v>164</v>
      </c>
      <c r="H1" s="24" t="s">
        <v>168</v>
      </c>
      <c r="I1" s="22" t="s">
        <v>113</v>
      </c>
      <c r="J1" s="22" t="s">
        <v>112</v>
      </c>
      <c r="K1" s="78"/>
      <c r="L1" s="78"/>
    </row>
    <row r="2" spans="1:12" s="24" customFormat="1" ht="15.75" customHeight="1" x14ac:dyDescent="0.25">
      <c r="A2" s="22" t="s">
        <v>66</v>
      </c>
      <c r="B2" s="22" t="s">
        <v>188</v>
      </c>
      <c r="C2" s="22">
        <v>0</v>
      </c>
      <c r="D2" s="22">
        <v>0</v>
      </c>
      <c r="E2" s="22">
        <v>0</v>
      </c>
      <c r="F2" s="22" t="s">
        <v>69</v>
      </c>
      <c r="G2" s="22" t="s">
        <v>226</v>
      </c>
      <c r="H2" s="24">
        <v>0</v>
      </c>
      <c r="I2" s="22">
        <v>0</v>
      </c>
      <c r="J2" s="22">
        <v>0</v>
      </c>
      <c r="K2" s="78"/>
      <c r="L2" s="78"/>
    </row>
    <row r="3" spans="1:12" s="24" customFormat="1" ht="15.75" customHeight="1" x14ac:dyDescent="0.25">
      <c r="A3" s="22" t="s">
        <v>66</v>
      </c>
      <c r="B3" s="22" t="s">
        <v>201</v>
      </c>
      <c r="C3" s="22" t="s">
        <v>223</v>
      </c>
      <c r="D3" s="22">
        <v>2085941254</v>
      </c>
      <c r="E3" s="22">
        <v>0</v>
      </c>
      <c r="F3" s="22" t="s">
        <v>69</v>
      </c>
      <c r="G3" s="22" t="s">
        <v>226</v>
      </c>
      <c r="H3" s="24">
        <v>9</v>
      </c>
      <c r="I3" s="22" t="s">
        <v>224</v>
      </c>
      <c r="J3" s="22" t="s">
        <v>225</v>
      </c>
      <c r="K3" s="78"/>
      <c r="L3" s="78"/>
    </row>
    <row r="4" spans="1:12" s="24" customFormat="1" ht="15.75" customHeight="1" x14ac:dyDescent="0.25">
      <c r="A4" s="22" t="s">
        <v>68</v>
      </c>
      <c r="B4" s="22" t="s">
        <v>217</v>
      </c>
      <c r="C4" s="22" t="s">
        <v>218</v>
      </c>
      <c r="D4" s="22">
        <v>0</v>
      </c>
      <c r="E4" s="22">
        <v>0</v>
      </c>
      <c r="F4" s="22" t="s">
        <v>221</v>
      </c>
      <c r="G4" s="22" t="s">
        <v>222</v>
      </c>
      <c r="H4" s="24">
        <v>4</v>
      </c>
      <c r="I4" s="22" t="s">
        <v>219</v>
      </c>
      <c r="J4" s="22" t="s">
        <v>220</v>
      </c>
      <c r="K4" s="78"/>
      <c r="L4" s="78"/>
    </row>
    <row r="5" spans="1:12" s="24" customFormat="1" ht="15.75" customHeight="1" x14ac:dyDescent="0.25">
      <c r="A5" s="22" t="s">
        <v>66</v>
      </c>
      <c r="B5" s="22" t="s">
        <v>217</v>
      </c>
      <c r="C5" s="22" t="s">
        <v>218</v>
      </c>
      <c r="D5" s="22">
        <v>0</v>
      </c>
      <c r="E5" s="22">
        <v>0</v>
      </c>
      <c r="F5" s="22" t="s">
        <v>221</v>
      </c>
      <c r="G5" s="22" t="s">
        <v>222</v>
      </c>
      <c r="H5" s="24">
        <v>4</v>
      </c>
      <c r="I5" s="22" t="s">
        <v>219</v>
      </c>
      <c r="J5" s="22" t="s">
        <v>220</v>
      </c>
      <c r="K5" s="78"/>
      <c r="L5" s="78"/>
    </row>
    <row r="6" spans="1:12" s="24" customFormat="1" ht="15.75" customHeight="1" x14ac:dyDescent="0.25">
      <c r="A6" s="22" t="s">
        <v>67</v>
      </c>
      <c r="B6" s="22" t="s">
        <v>217</v>
      </c>
      <c r="C6" s="22" t="s">
        <v>218</v>
      </c>
      <c r="D6" s="22">
        <v>0</v>
      </c>
      <c r="E6" s="22">
        <v>0</v>
      </c>
      <c r="F6" s="22" t="s">
        <v>221</v>
      </c>
      <c r="G6" s="22" t="s">
        <v>222</v>
      </c>
      <c r="H6" s="24">
        <v>4</v>
      </c>
      <c r="I6" s="22" t="s">
        <v>219</v>
      </c>
      <c r="J6" s="22" t="s">
        <v>220</v>
      </c>
      <c r="K6" s="78"/>
      <c r="L6" s="78"/>
    </row>
    <row r="7" spans="1:12" x14ac:dyDescent="0.25">
      <c r="A7" s="25" t="str">
        <f>'Booking System'!L11</f>
        <v>Mr</v>
      </c>
      <c r="B7" s="25" t="str">
        <f>'Booking System'!L12</f>
        <v>-</v>
      </c>
      <c r="C7" s="25">
        <f>'Booking System'!L13</f>
        <v>0</v>
      </c>
      <c r="D7" s="25">
        <f>'Booking System'!L14</f>
        <v>0</v>
      </c>
      <c r="E7" s="25">
        <f>'Booking System'!L15</f>
        <v>0</v>
      </c>
      <c r="F7" s="25" t="str">
        <f>'Booking System'!L16</f>
        <v>Evening</v>
      </c>
      <c r="G7" s="25" t="str">
        <f>'Booking System'!L17</f>
        <v>2</v>
      </c>
      <c r="H7" s="25">
        <f>'Booking System'!L18</f>
        <v>0</v>
      </c>
      <c r="I7" s="25">
        <f>'Booking System'!L19</f>
        <v>0</v>
      </c>
      <c r="J7" s="25">
        <f>'Booking System'!L20</f>
        <v>0</v>
      </c>
    </row>
    <row r="8" spans="1:12" x14ac:dyDescent="0.25">
      <c r="E8" s="27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M3"/>
  <sheetViews>
    <sheetView workbookViewId="0">
      <selection activeCell="H26" sqref="H26"/>
    </sheetView>
  </sheetViews>
  <sheetFormatPr defaultColWidth="0" defaultRowHeight="15" x14ac:dyDescent="0.25"/>
  <cols>
    <col min="1" max="1" width="5" style="1" bestFit="1" customWidth="1"/>
    <col min="2" max="2" width="17.7109375" style="1" customWidth="1"/>
    <col min="3" max="3" width="15" style="1" customWidth="1"/>
    <col min="4" max="4" width="14.5703125" style="1" bestFit="1" customWidth="1"/>
    <col min="5" max="5" width="25.5703125" style="1" customWidth="1"/>
    <col min="6" max="6" width="12.7109375" style="1" bestFit="1" customWidth="1"/>
    <col min="7" max="7" width="16.7109375" style="1" customWidth="1"/>
    <col min="8" max="8" width="13.7109375" style="1" bestFit="1" customWidth="1"/>
    <col min="9" max="9" width="20" style="1" customWidth="1"/>
    <col min="10" max="10" width="9.85546875" style="1" bestFit="1" customWidth="1"/>
    <col min="11" max="12" width="9.85546875" style="1" customWidth="1"/>
    <col min="13" max="13" width="11.28515625" style="1" customWidth="1"/>
    <col min="14" max="16384" width="9.140625" style="1" hidden="1"/>
  </cols>
  <sheetData>
    <row r="1" spans="1:10" s="78" customFormat="1" ht="15.75" customHeight="1" x14ac:dyDescent="0.25">
      <c r="A1" s="22" t="s">
        <v>116</v>
      </c>
      <c r="B1" s="22" t="s">
        <v>115</v>
      </c>
      <c r="C1" s="22" t="s">
        <v>216</v>
      </c>
      <c r="D1" s="22" t="s">
        <v>114</v>
      </c>
      <c r="E1" s="22" t="s">
        <v>166</v>
      </c>
      <c r="F1" s="22" t="s">
        <v>167</v>
      </c>
      <c r="G1" s="22" t="s">
        <v>164</v>
      </c>
      <c r="H1" s="24" t="s">
        <v>168</v>
      </c>
      <c r="I1" s="22" t="s">
        <v>113</v>
      </c>
      <c r="J1" s="23" t="s">
        <v>112</v>
      </c>
    </row>
    <row r="2" spans="1:10" x14ac:dyDescent="0.25">
      <c r="A2" s="25" t="str">
        <f>'Booking System'!L11</f>
        <v>Mr</v>
      </c>
      <c r="B2" s="25" t="str">
        <f>'Booking System'!L12</f>
        <v>-</v>
      </c>
      <c r="C2" s="25">
        <f>'Booking System'!L13</f>
        <v>0</v>
      </c>
      <c r="D2" s="25">
        <f>'Booking System'!L14</f>
        <v>0</v>
      </c>
      <c r="E2" s="25">
        <f>'Booking System'!L15</f>
        <v>0</v>
      </c>
      <c r="F2" s="25" t="str">
        <f>'Booking System'!L16</f>
        <v>Evening</v>
      </c>
      <c r="G2" s="25" t="str">
        <f>'Booking System'!L17</f>
        <v>2</v>
      </c>
      <c r="H2" s="25">
        <f>'Booking System'!L18</f>
        <v>0</v>
      </c>
      <c r="I2" s="25">
        <f>'Booking System'!L19</f>
        <v>0</v>
      </c>
      <c r="J2" s="26">
        <f>'Booking System'!L20</f>
        <v>0</v>
      </c>
    </row>
    <row r="3" spans="1:10" x14ac:dyDescent="0.25">
      <c r="E3" s="8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C000"/>
  </sheetPr>
  <dimension ref="A1:V33"/>
  <sheetViews>
    <sheetView showGridLines="0" zoomScaleNormal="100" workbookViewId="0">
      <selection activeCell="R10" sqref="R10"/>
    </sheetView>
  </sheetViews>
  <sheetFormatPr defaultColWidth="0" defaultRowHeight="15" zeroHeight="1" x14ac:dyDescent="0.25"/>
  <cols>
    <col min="1" max="1" width="3.42578125" style="1" customWidth="1"/>
    <col min="2" max="2" width="2.85546875" style="1" customWidth="1"/>
    <col min="3" max="5" width="9.140625" style="1" customWidth="1"/>
    <col min="6" max="6" width="0" style="1" hidden="1" customWidth="1"/>
    <col min="7" max="8" width="9.140625" style="1" customWidth="1"/>
    <col min="9" max="9" width="1.42578125" style="1" customWidth="1"/>
    <col min="10" max="10" width="12" style="1" bestFit="1" customWidth="1"/>
    <col min="11" max="11" width="6.140625" style="1" customWidth="1"/>
    <col min="12" max="12" width="25.85546875" style="1" bestFit="1" customWidth="1"/>
    <col min="13" max="13" width="9.140625" style="60" customWidth="1"/>
    <col min="14" max="15" width="9.140625" style="1" customWidth="1"/>
    <col min="16" max="16" width="2.140625" style="1" customWidth="1"/>
    <col min="17" max="17" width="9.28515625" style="1" customWidth="1"/>
    <col min="18" max="21" width="9.140625" style="1" customWidth="1"/>
    <col min="22" max="22" width="23.7109375" style="1" hidden="1" customWidth="1"/>
    <col min="23" max="16384" width="9.140625" style="1" hidden="1"/>
  </cols>
  <sheetData>
    <row r="1" spans="2:15" ht="9" customHeight="1" x14ac:dyDescent="0.25"/>
    <row r="2" spans="2:15" ht="45" customHeight="1" x14ac:dyDescent="0.25">
      <c r="C2" s="146" t="s">
        <v>190</v>
      </c>
      <c r="D2" s="146"/>
      <c r="E2" s="146"/>
      <c r="L2" s="57" t="s">
        <v>191</v>
      </c>
    </row>
    <row r="3" spans="2:15" ht="13.5" customHeight="1" x14ac:dyDescent="0.25"/>
    <row r="4" spans="2:15" x14ac:dyDescent="0.25">
      <c r="B4" s="142" t="s">
        <v>175</v>
      </c>
      <c r="C4" s="142"/>
      <c r="D4" s="142"/>
      <c r="E4" s="142"/>
      <c r="K4" s="2"/>
      <c r="M4" s="60" t="s">
        <v>6</v>
      </c>
      <c r="N4" s="1" t="s">
        <v>39</v>
      </c>
      <c r="O4" s="1" t="s">
        <v>8</v>
      </c>
    </row>
    <row r="5" spans="2:15" x14ac:dyDescent="0.25">
      <c r="B5" s="3">
        <v>1</v>
      </c>
      <c r="F5" s="1">
        <v>1</v>
      </c>
      <c r="J5" s="58" t="s">
        <v>175</v>
      </c>
      <c r="K5" s="5">
        <v>1</v>
      </c>
      <c r="L5" s="4" t="str">
        <f>IF(F5=1,"-",IF(F5=2,"Beef Soup",IF(F5=3,"Chicken Kebab with Salad",IF(F5=4,"Chicken Soup",IF(F5=5,"Chicken Wings",IF(F5=6,"Crips",IF(F5=7,"Noodle Soup",IF(F5=8,"Papadoms",IF(F5=9,"Salad",IF(F5=10,"Stuff Mushroom Bread",IF(F5=11,"Sweet and Sour Chicken",IF(F5=12,"Veggie Samosa",IF(F5=13,"Veggie Soup")))))))))))))</f>
        <v>-</v>
      </c>
      <c r="M5" s="86">
        <f>VLOOKUP(L5,Menu!B4:I16,2,0)</f>
        <v>0</v>
      </c>
      <c r="N5" s="192">
        <v>0</v>
      </c>
      <c r="O5" s="82">
        <f>(M5*N5)</f>
        <v>0</v>
      </c>
    </row>
    <row r="6" spans="2:15" x14ac:dyDescent="0.25">
      <c r="B6" s="3">
        <v>2</v>
      </c>
      <c r="F6" s="1">
        <v>5</v>
      </c>
      <c r="J6" s="11"/>
      <c r="K6" s="8">
        <v>2</v>
      </c>
      <c r="L6" s="7" t="str">
        <f>IF(F6=1,"-",IF(F6=2,"Beef Soup",IF(F6=3,"Chicken Kebab with Salad",IF(F6=4,"Chicken Soup",IF(F6=5,"Chicken Wings",IF(F6=6,"Crips",IF(F6=7,"Noodle Soup",IF(F6=8,"Papadoms",IF(F6=9,"Salad",IF(F6=10,"Stuff Mushroom Bread",IF(F6=11,"Sweet and Sour Chicken",IF(F6=12,"Veggie Samosa",IF(F6=13,"Veggie Soup")))))))))))))</f>
        <v>Chicken Wings</v>
      </c>
      <c r="M6" s="88">
        <f>VLOOKUP(L6,Menu!B4:I16,2,0)</f>
        <v>1.5</v>
      </c>
      <c r="N6" s="193">
        <v>0</v>
      </c>
      <c r="O6" s="83">
        <f t="shared" ref="O6:O14" si="0">(M6*N6)</f>
        <v>0</v>
      </c>
    </row>
    <row r="7" spans="2:15" x14ac:dyDescent="0.25">
      <c r="J7" s="58" t="s">
        <v>40</v>
      </c>
      <c r="K7" s="6">
        <v>1</v>
      </c>
      <c r="L7" s="4" t="str">
        <f>IF(F9=1,"-",IF(F9=2,"Buttermilk Fried Chicken",IF(F9=3,"Chicken Fajits",IF(F9=4,"Crab Sticks",IF(F9=5,"Egg Fried Rice",IF(F9=6,"English Dinner",IF(F9=7,"Fish and Chips",IF(F9=8,"Jacket Potoato with Cheese",IF(F9=9,"King Prawns",IF(F9=10,"Mixed Seafood",IF(F9=11,"Pain Rice",IF(F9=12,"Veggie Sausage Roll",IF(F9=13,"Veegie Burger",)))))))))))))</f>
        <v>-</v>
      </c>
      <c r="M7" s="87">
        <f>VLOOKUP(L7,Menu!D4:E16,2,0)</f>
        <v>0</v>
      </c>
      <c r="N7" s="192">
        <v>0</v>
      </c>
      <c r="O7" s="82">
        <f t="shared" si="0"/>
        <v>0</v>
      </c>
    </row>
    <row r="8" spans="2:15" x14ac:dyDescent="0.25">
      <c r="B8" s="142" t="s">
        <v>40</v>
      </c>
      <c r="C8" s="142"/>
      <c r="D8" s="142"/>
      <c r="E8" s="142"/>
      <c r="J8" s="12"/>
      <c r="K8" s="1">
        <v>2</v>
      </c>
      <c r="L8" s="9" t="str">
        <f>IF(F10=1,"-",IF(F10=2,"Buttermilk Fried Chicken",IF(F10=3,"Chicken Fajits",IF(F10=4,"Crab Sticks",IF(F10=5,"Egg Fried Rice",IF(F10=6,"English Dinner",IF(F10=7,"Fish and Chips",IF(F10=8,"Jacket Potoato with Cheese",IF(F10=9,"King Prawns",IF(F10=10,"Mixed Seafood",IF(F10=11,"Pain Rice",IF(F10=12,"Veggie Sausage Roll",IF(F10=13,"Veegie Burger",)))))))))))))</f>
        <v>-</v>
      </c>
      <c r="M8" s="87">
        <f>VLOOKUP(L8,Menu!D4:E16,2,0)</f>
        <v>0</v>
      </c>
      <c r="N8" s="194">
        <v>0</v>
      </c>
      <c r="O8" s="84">
        <f t="shared" si="0"/>
        <v>0</v>
      </c>
    </row>
    <row r="9" spans="2:15" x14ac:dyDescent="0.25">
      <c r="B9" s="3">
        <v>1</v>
      </c>
      <c r="F9" s="1">
        <v>1</v>
      </c>
      <c r="J9" s="11"/>
      <c r="K9" s="8">
        <v>3</v>
      </c>
      <c r="L9" s="7" t="str">
        <f>IF(F11=1,"-",IF(F11=2,"Buttermilk Fried Chicken",IF(F11=3,"Chicken Fajits",IF(F11=4,"Crab Sticks",IF(F11=5,"Egg Fried Rice",IF(F11=6,"English Dinner",IF(F11=7,"Fish and Chips",IF(F11=8,"Jacket Potoato with Cheese",IF(F11=9,"King Prawns",IF(F11=10,"Mixed Seafood",IF(F11=11,"Pain Rice",IF(F11=12,"Veggie Sausage Roll",IF(F11=13,"Veegie Burger",)))))))))))))</f>
        <v>-</v>
      </c>
      <c r="M9" s="87">
        <f>VLOOKUP(L9,Menu!D4:E16,2,0)</f>
        <v>0</v>
      </c>
      <c r="N9" s="193">
        <v>0</v>
      </c>
      <c r="O9" s="83">
        <f t="shared" si="0"/>
        <v>0</v>
      </c>
    </row>
    <row r="10" spans="2:15" x14ac:dyDescent="0.25">
      <c r="B10" s="3">
        <v>2</v>
      </c>
      <c r="F10" s="1">
        <v>1</v>
      </c>
      <c r="J10" s="58" t="s">
        <v>41</v>
      </c>
      <c r="K10" s="6">
        <v>1</v>
      </c>
      <c r="L10" s="4" t="str">
        <f>IF(F14=1,"-",IF(F14=2,"Apple Pie",IF(F14=3,"Blueberry Pie",IF(F14=4,"Cookie Dough Ice Cream",IF(F14=5,"Lemon Meringue Pie",IF(F14=6,"Fudge Cake",IF(F14=7,"Strawberry K14Cake",IF(F14=8,"Strawberry Ice Cream",IF(F14=9,"Vanilla Ice Cream",)))))))))</f>
        <v>-</v>
      </c>
      <c r="M10" s="86">
        <f>VLOOKUP(L10,Menu!F4:G12,2,0)</f>
        <v>0</v>
      </c>
      <c r="N10" s="192">
        <v>0</v>
      </c>
      <c r="O10" s="82">
        <f t="shared" si="0"/>
        <v>0</v>
      </c>
    </row>
    <row r="11" spans="2:15" x14ac:dyDescent="0.25">
      <c r="B11" s="3">
        <v>3</v>
      </c>
      <c r="F11" s="1">
        <v>1</v>
      </c>
      <c r="J11" s="12"/>
      <c r="K11" s="1">
        <v>2</v>
      </c>
      <c r="L11" s="9" t="str">
        <f>IF(F15=1,"-",IF(F15=2,"Apple Pie",IF(F15=3,"Blueberrry Pie",IF(F15=4,"Cookie Dough Ice Cream",IF(F15=5,"Lemon Meringue Pie",IF(F15=6,"Fudge Cake",IF(F15=7,"Strawberry K14Cake",IF(F15=8,"Strawberry Ice Cream",IF(F15=9,"Vanilla Ice Cream",)))))))))</f>
        <v>-</v>
      </c>
      <c r="M11" s="87">
        <f>VLOOKUP(L11,Menu!F4:G12,2,0)</f>
        <v>0</v>
      </c>
      <c r="N11" s="194">
        <v>0</v>
      </c>
      <c r="O11" s="84">
        <f t="shared" si="0"/>
        <v>0</v>
      </c>
    </row>
    <row r="12" spans="2:15" x14ac:dyDescent="0.25">
      <c r="J12" s="11"/>
      <c r="K12" s="8">
        <v>3</v>
      </c>
      <c r="L12" s="7" t="str">
        <f>IF(F16=1,"-",IF(F16=2,"Apple Pie",IF(F16=3,"Blueberrry Pie",IF(F16=4,"Cookie Dough Ice Cream",IF(F16=5,"Lemon Meringue Pie",IF(F16=6,"Fudge Cake",IF(F16=7,"Strawberry K14Cake",IF(F16=8,"Strawberry Ice Cream",IF(F16=9,"Vanilla Ice Cream",)))))))))</f>
        <v>-</v>
      </c>
      <c r="M12" s="88">
        <f>VLOOKUP(L12,Menu!F4:G12,2,0)</f>
        <v>0</v>
      </c>
      <c r="N12" s="193">
        <v>0</v>
      </c>
      <c r="O12" s="83">
        <f t="shared" si="0"/>
        <v>0</v>
      </c>
    </row>
    <row r="13" spans="2:15" x14ac:dyDescent="0.25">
      <c r="B13" s="142" t="s">
        <v>41</v>
      </c>
      <c r="C13" s="142"/>
      <c r="D13" s="142"/>
      <c r="E13" s="142"/>
      <c r="J13" s="58" t="s">
        <v>7</v>
      </c>
      <c r="K13" s="6">
        <v>1</v>
      </c>
      <c r="L13" s="4" t="str">
        <f>IF(F19=1,"-",IF(F19=2,"Coffee",IF(F19=3,"Fanta",IF(F19=4,"J2O",IF(F19=5,"Pepsi",IF(F19=6,"Sprite",IF(F19=7,"Tango",IF(F19=8,"Tea",IF(F19=9,"Water")))))))))</f>
        <v>-</v>
      </c>
      <c r="M13" s="87">
        <f>VLOOKUP(L13,Menu!H4:I12,2,0)</f>
        <v>0</v>
      </c>
      <c r="N13" s="192">
        <v>0</v>
      </c>
      <c r="O13" s="82">
        <f t="shared" si="0"/>
        <v>0</v>
      </c>
    </row>
    <row r="14" spans="2:15" x14ac:dyDescent="0.25">
      <c r="B14" s="3">
        <v>1</v>
      </c>
      <c r="F14" s="1">
        <v>1</v>
      </c>
      <c r="J14" s="11"/>
      <c r="K14" s="1">
        <v>2</v>
      </c>
      <c r="L14" s="7" t="str">
        <f>IF(F20=1,"-",IF(F20=2,"Coffee",IF(F20=3,"Fanta",IF(F20=4,"J2O",IF(F20=5,"Pepsi",IF(F20=6,"Sprite",IF(F20=7,"Tango",IF(F20=8,"Tea",IF(F20=9,"Water")))))))))</f>
        <v>-</v>
      </c>
      <c r="M14" s="88">
        <f>VLOOKUP(L14,Menu!H4:I12,2,0)</f>
        <v>0</v>
      </c>
      <c r="N14" s="193">
        <v>0</v>
      </c>
      <c r="O14" s="83">
        <f t="shared" si="0"/>
        <v>0</v>
      </c>
    </row>
    <row r="15" spans="2:15" x14ac:dyDescent="0.25">
      <c r="B15" s="3">
        <v>2</v>
      </c>
      <c r="F15" s="1">
        <v>1</v>
      </c>
      <c r="J15" s="143" t="s">
        <v>8</v>
      </c>
      <c r="K15" s="144"/>
      <c r="L15" s="145"/>
      <c r="M15" s="61"/>
      <c r="N15" s="8"/>
      <c r="O15" s="85">
        <f>SUM(O5:O14)</f>
        <v>0</v>
      </c>
    </row>
    <row r="16" spans="2:15" x14ac:dyDescent="0.25">
      <c r="B16" s="3">
        <v>3</v>
      </c>
      <c r="F16" s="1">
        <v>1</v>
      </c>
      <c r="J16" s="63" t="s">
        <v>196</v>
      </c>
      <c r="K16" s="90">
        <f>D22</f>
        <v>0</v>
      </c>
      <c r="L16" s="92">
        <f ca="1">NOW()</f>
        <v>41402.894735416667</v>
      </c>
    </row>
    <row r="17" spans="2:22" x14ac:dyDescent="0.25"/>
    <row r="18" spans="2:22" x14ac:dyDescent="0.25">
      <c r="B18" s="142" t="s">
        <v>7</v>
      </c>
      <c r="C18" s="142"/>
      <c r="D18" s="142"/>
      <c r="E18" s="142"/>
    </row>
    <row r="19" spans="2:22" x14ac:dyDescent="0.25">
      <c r="B19" s="3">
        <v>1</v>
      </c>
      <c r="F19" s="1">
        <v>1</v>
      </c>
    </row>
    <row r="20" spans="2:22" x14ac:dyDescent="0.25">
      <c r="B20" s="3">
        <v>2</v>
      </c>
      <c r="F20" s="1">
        <v>1</v>
      </c>
    </row>
    <row r="21" spans="2:22" ht="15.75" x14ac:dyDescent="0.25">
      <c r="V21" s="10"/>
    </row>
    <row r="22" spans="2:22" ht="15.75" x14ac:dyDescent="0.25">
      <c r="C22" s="115" t="s">
        <v>203</v>
      </c>
      <c r="D22" s="195">
        <v>0</v>
      </c>
      <c r="Q22" s="10"/>
      <c r="V22" s="10"/>
    </row>
    <row r="23" spans="2:22" ht="15.75" x14ac:dyDescent="0.25">
      <c r="Q23" s="10"/>
      <c r="V23" s="10"/>
    </row>
    <row r="24" spans="2:22" ht="15.75" hidden="1" x14ac:dyDescent="0.25">
      <c r="Q24" s="10"/>
      <c r="V24" s="10"/>
    </row>
    <row r="25" spans="2:22" ht="15.75" hidden="1" x14ac:dyDescent="0.25">
      <c r="Q25" s="10"/>
      <c r="V25" s="10"/>
    </row>
    <row r="26" spans="2:22" ht="15.75" hidden="1" x14ac:dyDescent="0.25">
      <c r="Q26" s="10"/>
      <c r="V26" s="10"/>
    </row>
    <row r="27" spans="2:22" ht="15.75" hidden="1" x14ac:dyDescent="0.25">
      <c r="Q27" s="10"/>
      <c r="V27" s="10"/>
    </row>
    <row r="28" spans="2:22" ht="15.75" hidden="1" x14ac:dyDescent="0.25">
      <c r="Q28" s="10"/>
      <c r="V28" s="10"/>
    </row>
    <row r="29" spans="2:22" ht="15.75" hidden="1" x14ac:dyDescent="0.25">
      <c r="Q29" s="10"/>
      <c r="V29" s="10"/>
    </row>
    <row r="30" spans="2:22" ht="15.75" hidden="1" x14ac:dyDescent="0.25">
      <c r="Q30" s="10"/>
      <c r="V30" s="10"/>
    </row>
    <row r="31" spans="2:22" ht="15.75" hidden="1" x14ac:dyDescent="0.25">
      <c r="Q31" s="10"/>
      <c r="V31" s="10"/>
    </row>
    <row r="32" spans="2:22" ht="15.75" hidden="1" x14ac:dyDescent="0.25">
      <c r="Q32" s="10"/>
      <c r="V32" s="10"/>
    </row>
    <row r="33" spans="17:17" ht="15.75" hidden="1" x14ac:dyDescent="0.25">
      <c r="Q33" s="10"/>
    </row>
  </sheetData>
  <sheetProtection password="CB7F" sheet="1" objects="1" scenarios="1"/>
  <mergeCells count="6">
    <mergeCell ref="B18:E18"/>
    <mergeCell ref="J15:L15"/>
    <mergeCell ref="C2:E2"/>
    <mergeCell ref="B4:E4"/>
    <mergeCell ref="B8:E8"/>
    <mergeCell ref="B13:E13"/>
  </mergeCells>
  <pageMargins left="0.7" right="0.7" top="0.75" bottom="0.75" header="0.3" footer="0.3"/>
  <pageSetup paperSize="11" orientation="landscape" cellComments="atEnd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>
                <anchor moveWithCells="1">
                  <from>
                    <xdr:col>2</xdr:col>
                    <xdr:colOff>19050</xdr:colOff>
                    <xdr:row>4</xdr:row>
                    <xdr:rowOff>0</xdr:rowOff>
                  </from>
                  <to>
                    <xdr:col>6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Drop Down 2">
              <controlPr defaultSize="0" autoLine="0" autoPict="0">
                <anchor moveWithCells="1">
                  <from>
                    <xdr:col>2</xdr:col>
                    <xdr:colOff>19050</xdr:colOff>
                    <xdr:row>5</xdr:row>
                    <xdr:rowOff>19050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Drop Down 3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Drop Down 4">
              <controlPr defaultSize="0" autoLine="0" autoPict="0">
                <anchor moveWithCells="1">
                  <from>
                    <xdr:col>2</xdr:col>
                    <xdr:colOff>0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Drop Down 5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19050</xdr:rowOff>
                  </from>
                  <to>
                    <xdr:col>5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Drop Down 6">
              <controlPr defaultSize="0" autoLine="0" autoPict="0">
                <anchor moveWithCells="1">
                  <from>
                    <xdr:col>1</xdr:col>
                    <xdr:colOff>180975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Drop Down 7">
              <controlPr defaultSize="0" autoLine="0" autoPict="0">
                <anchor moveWithCells="1">
                  <from>
                    <xdr:col>1</xdr:col>
                    <xdr:colOff>180975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Drop Down 8">
              <controlPr defaultSize="0" autoLine="0" autoPict="0">
                <anchor mov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5</xdr:col>
                    <xdr:colOff>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Drop Down 9">
              <controlPr defaultSize="0" autoLine="0" autoPict="0">
                <anchor moveWithCells="1">
                  <from>
                    <xdr:col>1</xdr:col>
                    <xdr:colOff>180975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Drop Down 10">
              <controlPr defaultSize="0" autoLine="0" autoPict="0">
                <anchor moveWithCells="1">
                  <from>
                    <xdr:col>1</xdr:col>
                    <xdr:colOff>180975</xdr:colOff>
                    <xdr:row>19</xdr:row>
                    <xdr:rowOff>19050</xdr:rowOff>
                  </from>
                  <to>
                    <xdr:col>5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Menu!$Q$2:$Q$8</xm:f>
          </x14:formula1>
          <xm:sqref>N5:N14</xm:sqref>
        </x14:dataValidation>
        <x14:dataValidation type="list" showInputMessage="1" showErrorMessage="1">
          <x14:formula1>
            <xm:f>Menu!$Q$2:$Q$12</xm:f>
          </x14:formula1>
          <xm:sqref>D22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Q28"/>
  <sheetViews>
    <sheetView showGridLines="0" zoomScale="95" zoomScaleNormal="95" workbookViewId="0"/>
  </sheetViews>
  <sheetFormatPr defaultColWidth="0" defaultRowHeight="15" zeroHeight="1" x14ac:dyDescent="0.25"/>
  <cols>
    <col min="1" max="1" width="9.140625" style="95" customWidth="1"/>
    <col min="2" max="2" width="23.7109375" style="95" bestFit="1" customWidth="1"/>
    <col min="3" max="3" width="5.5703125" style="196" bestFit="1" customWidth="1"/>
    <col min="4" max="4" width="24.85546875" style="196" bestFit="1" customWidth="1"/>
    <col min="5" max="5" width="5.5703125" style="95" bestFit="1" customWidth="1"/>
    <col min="6" max="6" width="23.42578125" style="95" bestFit="1" customWidth="1"/>
    <col min="7" max="7" width="5.5703125" style="196" bestFit="1" customWidth="1"/>
    <col min="8" max="8" width="15.42578125" style="95" bestFit="1" customWidth="1"/>
    <col min="9" max="9" width="5.5703125" style="196" bestFit="1" customWidth="1"/>
    <col min="10" max="10" width="0.7109375" style="196" customWidth="1"/>
    <col min="11" max="11" width="11.5703125" style="95" customWidth="1"/>
    <col min="12" max="12" width="0.5703125" style="95" customWidth="1"/>
    <col min="13" max="15" width="9.140625" style="95" customWidth="1"/>
    <col min="16" max="16" width="9.140625" style="95" hidden="1"/>
    <col min="17" max="17" width="0" style="95" hidden="1"/>
    <col min="18" max="16384" width="9.140625" style="95" hidden="1"/>
  </cols>
  <sheetData>
    <row r="1" spans="2:17" x14ac:dyDescent="0.25"/>
    <row r="2" spans="2:17" x14ac:dyDescent="0.25">
      <c r="D2" s="95"/>
      <c r="E2" s="196"/>
      <c r="Q2" s="95">
        <v>0</v>
      </c>
    </row>
    <row r="3" spans="2:17" x14ac:dyDescent="0.25">
      <c r="B3" s="197" t="s">
        <v>5</v>
      </c>
      <c r="C3" s="198" t="s">
        <v>6</v>
      </c>
      <c r="D3" s="199" t="s">
        <v>40</v>
      </c>
      <c r="E3" s="198" t="s">
        <v>6</v>
      </c>
      <c r="F3" s="200" t="s">
        <v>41</v>
      </c>
      <c r="G3" s="198" t="s">
        <v>6</v>
      </c>
      <c r="H3" s="199" t="s">
        <v>176</v>
      </c>
      <c r="I3" s="198" t="s">
        <v>6</v>
      </c>
      <c r="J3" s="201"/>
      <c r="L3" s="202"/>
      <c r="Q3" s="95">
        <v>1</v>
      </c>
    </row>
    <row r="4" spans="2:17" x14ac:dyDescent="0.25">
      <c r="B4" s="203" t="s">
        <v>188</v>
      </c>
      <c r="C4" s="204">
        <v>0</v>
      </c>
      <c r="D4" s="205" t="s">
        <v>188</v>
      </c>
      <c r="E4" s="204">
        <v>0</v>
      </c>
      <c r="F4" s="203" t="s">
        <v>188</v>
      </c>
      <c r="G4" s="204">
        <v>0</v>
      </c>
      <c r="H4" s="206" t="s">
        <v>188</v>
      </c>
      <c r="I4" s="207">
        <v>0</v>
      </c>
      <c r="J4" s="208"/>
      <c r="L4" s="202"/>
      <c r="Q4" s="95">
        <v>2</v>
      </c>
    </row>
    <row r="5" spans="2:17" ht="15.75" x14ac:dyDescent="0.25">
      <c r="B5" s="209" t="s">
        <v>120</v>
      </c>
      <c r="C5" s="210">
        <v>1.99</v>
      </c>
      <c r="D5" s="211" t="s">
        <v>129</v>
      </c>
      <c r="E5" s="210">
        <v>3.99</v>
      </c>
      <c r="F5" s="211" t="s">
        <v>177</v>
      </c>
      <c r="G5" s="210">
        <v>1.6</v>
      </c>
      <c r="H5" s="211" t="s">
        <v>137</v>
      </c>
      <c r="I5" s="204">
        <v>1.1000000000000001</v>
      </c>
      <c r="J5" s="208"/>
      <c r="L5" s="202"/>
      <c r="Q5" s="95">
        <v>3</v>
      </c>
    </row>
    <row r="6" spans="2:17" ht="15.75" x14ac:dyDescent="0.25">
      <c r="B6" s="209" t="s">
        <v>125</v>
      </c>
      <c r="C6" s="210">
        <v>2.2000000000000002</v>
      </c>
      <c r="D6" s="211" t="s">
        <v>130</v>
      </c>
      <c r="E6" s="210">
        <v>3.99</v>
      </c>
      <c r="F6" s="211" t="s">
        <v>178</v>
      </c>
      <c r="G6" s="212">
        <v>1.6</v>
      </c>
      <c r="H6" s="211" t="s">
        <v>138</v>
      </c>
      <c r="I6" s="210">
        <v>1.1000000000000001</v>
      </c>
      <c r="J6" s="208"/>
      <c r="L6" s="202"/>
      <c r="Q6" s="95">
        <v>4</v>
      </c>
    </row>
    <row r="7" spans="2:17" ht="15.75" x14ac:dyDescent="0.25">
      <c r="B7" s="209" t="s">
        <v>121</v>
      </c>
      <c r="C7" s="210">
        <v>1.99</v>
      </c>
      <c r="D7" s="211" t="s">
        <v>134</v>
      </c>
      <c r="E7" s="210">
        <v>1.49</v>
      </c>
      <c r="F7" s="211" t="s">
        <v>179</v>
      </c>
      <c r="G7" s="210">
        <v>1.9</v>
      </c>
      <c r="H7" s="211" t="s">
        <v>139</v>
      </c>
      <c r="I7" s="210">
        <v>1.1000000000000001</v>
      </c>
      <c r="J7" s="208"/>
      <c r="L7" s="202"/>
      <c r="Q7" s="95">
        <v>5</v>
      </c>
    </row>
    <row r="8" spans="2:17" ht="15.75" x14ac:dyDescent="0.25">
      <c r="B8" s="209" t="s">
        <v>126</v>
      </c>
      <c r="C8" s="210">
        <v>1.5</v>
      </c>
      <c r="D8" s="211" t="s">
        <v>145</v>
      </c>
      <c r="E8" s="210">
        <v>1.8</v>
      </c>
      <c r="F8" s="211" t="s">
        <v>180</v>
      </c>
      <c r="G8" s="210">
        <v>1.6</v>
      </c>
      <c r="H8" s="211" t="s">
        <v>140</v>
      </c>
      <c r="I8" s="210">
        <v>1.1000000000000001</v>
      </c>
      <c r="J8" s="208"/>
      <c r="L8" s="202"/>
      <c r="Q8" s="95">
        <v>6</v>
      </c>
    </row>
    <row r="9" spans="2:17" ht="15.75" x14ac:dyDescent="0.25">
      <c r="B9" s="209" t="s">
        <v>119</v>
      </c>
      <c r="C9" s="210">
        <v>0.6</v>
      </c>
      <c r="D9" s="211" t="s">
        <v>128</v>
      </c>
      <c r="E9" s="210">
        <v>4.5</v>
      </c>
      <c r="F9" s="211" t="s">
        <v>181</v>
      </c>
      <c r="G9" s="210">
        <v>1.7</v>
      </c>
      <c r="H9" s="211" t="s">
        <v>141</v>
      </c>
      <c r="I9" s="210">
        <v>1.1000000000000001</v>
      </c>
      <c r="J9" s="208"/>
      <c r="L9" s="202"/>
      <c r="Q9" s="95">
        <v>7</v>
      </c>
    </row>
    <row r="10" spans="2:17" ht="15.75" x14ac:dyDescent="0.25">
      <c r="B10" s="209" t="s">
        <v>122</v>
      </c>
      <c r="C10" s="210">
        <v>1.99</v>
      </c>
      <c r="D10" s="211" t="s">
        <v>136</v>
      </c>
      <c r="E10" s="210">
        <v>5</v>
      </c>
      <c r="F10" s="211" t="s">
        <v>182</v>
      </c>
      <c r="G10" s="210">
        <v>1.7</v>
      </c>
      <c r="H10" s="211" t="s">
        <v>142</v>
      </c>
      <c r="I10" s="210">
        <v>1.1000000000000001</v>
      </c>
      <c r="J10" s="208"/>
      <c r="L10" s="202"/>
      <c r="Q10" s="95">
        <v>8</v>
      </c>
    </row>
    <row r="11" spans="2:17" ht="15.75" x14ac:dyDescent="0.25">
      <c r="B11" s="209" t="s">
        <v>117</v>
      </c>
      <c r="C11" s="210">
        <v>1.2</v>
      </c>
      <c r="D11" s="211" t="s">
        <v>131</v>
      </c>
      <c r="E11" s="210">
        <v>1.9</v>
      </c>
      <c r="F11" s="211" t="s">
        <v>183</v>
      </c>
      <c r="G11" s="210">
        <v>1.9</v>
      </c>
      <c r="H11" s="211" t="s">
        <v>143</v>
      </c>
      <c r="I11" s="210">
        <v>1.1000000000000001</v>
      </c>
      <c r="J11" s="208"/>
      <c r="L11" s="202"/>
      <c r="Q11" s="95">
        <v>9</v>
      </c>
    </row>
    <row r="12" spans="2:17" ht="15.75" x14ac:dyDescent="0.25">
      <c r="B12" s="209" t="s">
        <v>118</v>
      </c>
      <c r="C12" s="210">
        <v>1.5</v>
      </c>
      <c r="D12" s="211" t="s">
        <v>133</v>
      </c>
      <c r="E12" s="210">
        <v>2.2000000000000002</v>
      </c>
      <c r="F12" s="211" t="s">
        <v>184</v>
      </c>
      <c r="G12" s="212">
        <v>1.9</v>
      </c>
      <c r="H12" s="211" t="s">
        <v>185</v>
      </c>
      <c r="I12" s="212">
        <v>1.1000000000000001</v>
      </c>
      <c r="J12" s="208"/>
      <c r="L12" s="202"/>
      <c r="Q12" s="95">
        <v>10</v>
      </c>
    </row>
    <row r="13" spans="2:17" ht="15.75" x14ac:dyDescent="0.25">
      <c r="B13" s="209" t="s">
        <v>124</v>
      </c>
      <c r="C13" s="210">
        <v>1.6</v>
      </c>
      <c r="D13" s="211" t="s">
        <v>135</v>
      </c>
      <c r="E13" s="210">
        <v>3.1</v>
      </c>
      <c r="F13" s="213"/>
      <c r="G13" s="207"/>
      <c r="H13" s="206"/>
      <c r="I13" s="207"/>
      <c r="J13" s="208"/>
      <c r="L13" s="202"/>
    </row>
    <row r="14" spans="2:17" ht="15.75" x14ac:dyDescent="0.25">
      <c r="B14" s="209" t="s">
        <v>127</v>
      </c>
      <c r="C14" s="210">
        <v>2.5</v>
      </c>
      <c r="D14" s="211" t="s">
        <v>144</v>
      </c>
      <c r="E14" s="210">
        <v>1.5</v>
      </c>
      <c r="F14" s="213"/>
      <c r="G14" s="207"/>
      <c r="H14" s="214"/>
      <c r="I14" s="207"/>
      <c r="J14" s="208"/>
      <c r="L14" s="202"/>
    </row>
    <row r="15" spans="2:17" ht="15.75" x14ac:dyDescent="0.25">
      <c r="B15" s="209" t="s">
        <v>123</v>
      </c>
      <c r="C15" s="210">
        <v>0.9</v>
      </c>
      <c r="D15" s="211" t="s">
        <v>132</v>
      </c>
      <c r="E15" s="210">
        <v>1.5</v>
      </c>
      <c r="F15" s="213"/>
      <c r="G15" s="207"/>
      <c r="H15" s="214"/>
      <c r="I15" s="207"/>
      <c r="J15" s="208"/>
      <c r="L15" s="202"/>
    </row>
    <row r="16" spans="2:17" ht="15.75" x14ac:dyDescent="0.25">
      <c r="B16" s="209" t="s">
        <v>186</v>
      </c>
      <c r="C16" s="212">
        <v>1.99</v>
      </c>
      <c r="D16" s="211" t="s">
        <v>187</v>
      </c>
      <c r="E16" s="212">
        <v>2.1</v>
      </c>
      <c r="F16" s="213"/>
      <c r="G16" s="207"/>
      <c r="H16" s="214"/>
      <c r="I16" s="207"/>
      <c r="J16" s="208"/>
      <c r="L16" s="202"/>
    </row>
    <row r="17" spans="2:12" ht="15.75" x14ac:dyDescent="0.25">
      <c r="B17" s="214"/>
      <c r="C17" s="212"/>
      <c r="D17" s="215"/>
      <c r="E17" s="212"/>
      <c r="F17" s="206"/>
      <c r="G17" s="207"/>
      <c r="H17" s="214"/>
      <c r="I17" s="207"/>
      <c r="J17" s="208"/>
      <c r="L17" s="202"/>
    </row>
    <row r="18" spans="2:12" ht="15.75" x14ac:dyDescent="0.25">
      <c r="B18" s="206"/>
      <c r="C18" s="207"/>
      <c r="D18" s="206"/>
      <c r="E18" s="207"/>
      <c r="F18" s="206"/>
      <c r="G18" s="207"/>
      <c r="H18" s="214"/>
      <c r="I18" s="207"/>
      <c r="J18" s="208"/>
      <c r="L18" s="202"/>
    </row>
    <row r="19" spans="2:12" ht="15.75" x14ac:dyDescent="0.25">
      <c r="B19" s="206"/>
      <c r="C19" s="207"/>
      <c r="D19" s="206"/>
      <c r="E19" s="207"/>
      <c r="F19" s="206"/>
      <c r="G19" s="207"/>
      <c r="H19" s="214"/>
      <c r="I19" s="207"/>
      <c r="J19" s="208"/>
      <c r="L19" s="202"/>
    </row>
    <row r="20" spans="2:12" ht="15.75" x14ac:dyDescent="0.25">
      <c r="B20" s="214"/>
      <c r="C20" s="207"/>
      <c r="D20" s="216"/>
      <c r="E20" s="217"/>
      <c r="F20" s="206"/>
      <c r="G20" s="207"/>
      <c r="H20" s="214"/>
      <c r="I20" s="207"/>
      <c r="J20" s="208"/>
      <c r="K20" s="187"/>
      <c r="L20" s="202"/>
    </row>
    <row r="21" spans="2:12" ht="15.75" x14ac:dyDescent="0.25">
      <c r="B21" s="218"/>
      <c r="C21" s="219"/>
      <c r="D21" s="219"/>
      <c r="E21" s="218"/>
      <c r="F21" s="93"/>
      <c r="G21" s="219"/>
      <c r="H21" s="218"/>
      <c r="I21" s="219"/>
      <c r="J21" s="219"/>
    </row>
    <row r="22" spans="2:12" ht="15.75" hidden="1" x14ac:dyDescent="0.25">
      <c r="B22" s="93"/>
      <c r="C22" s="219"/>
      <c r="D22" s="219"/>
      <c r="E22" s="93"/>
      <c r="F22" s="93"/>
      <c r="G22" s="219"/>
      <c r="H22" s="218"/>
      <c r="J22" s="219"/>
    </row>
    <row r="23" spans="2:12" ht="15.75" hidden="1" x14ac:dyDescent="0.25">
      <c r="B23" s="93"/>
      <c r="C23" s="219"/>
      <c r="D23" s="219"/>
      <c r="E23" s="93"/>
      <c r="F23" s="93"/>
      <c r="G23" s="219"/>
      <c r="H23" s="218"/>
      <c r="I23" s="219"/>
      <c r="J23" s="219"/>
    </row>
    <row r="24" spans="2:12" ht="15.75" hidden="1" x14ac:dyDescent="0.25">
      <c r="B24" s="93"/>
      <c r="C24" s="219"/>
      <c r="D24" s="219"/>
      <c r="E24" s="93"/>
      <c r="F24" s="93"/>
      <c r="G24" s="219"/>
      <c r="H24" s="218"/>
      <c r="I24" s="219"/>
      <c r="J24" s="219"/>
    </row>
    <row r="25" spans="2:12" hidden="1" x14ac:dyDescent="0.25">
      <c r="B25" s="93"/>
      <c r="C25" s="219"/>
      <c r="D25" s="219"/>
      <c r="E25" s="93"/>
      <c r="F25" s="93"/>
      <c r="G25" s="219"/>
      <c r="H25" s="93"/>
      <c r="I25" s="219"/>
      <c r="J25" s="219"/>
    </row>
    <row r="26" spans="2:12" hidden="1" x14ac:dyDescent="0.25"/>
    <row r="27" spans="2:12" hidden="1" x14ac:dyDescent="0.25"/>
    <row r="28" spans="2:12" hidden="1" x14ac:dyDescent="0.25">
      <c r="I28" s="95"/>
    </row>
  </sheetData>
  <sheetProtection password="CB7F" sheet="1" objects="1" scenarios="1"/>
  <sortState ref="F4:F11">
    <sortCondition ref="F12"/>
  </sortState>
  <pageMargins left="0.7" right="0.7" top="0.75" bottom="0.75" header="0.3" footer="0.3"/>
  <pageSetup paperSize="9" orientation="landscape" cellComments="atEnd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S20"/>
  <sheetViews>
    <sheetView showGridLines="0" showRowColHeaders="0" zoomScaleNormal="100" workbookViewId="0">
      <selection activeCell="J11" sqref="J11"/>
    </sheetView>
  </sheetViews>
  <sheetFormatPr defaultColWidth="0" defaultRowHeight="15" zeroHeight="1" x14ac:dyDescent="0.25"/>
  <cols>
    <col min="1" max="1" width="9.140625" style="2" customWidth="1"/>
    <col min="2" max="2" width="4.85546875" style="2" customWidth="1"/>
    <col min="3" max="10" width="9.140625" style="2" customWidth="1"/>
    <col min="11" max="18" width="9.140625" style="2" hidden="1" customWidth="1"/>
    <col min="19" max="19" width="9.28515625" style="2" hidden="1" customWidth="1"/>
    <col min="20" max="16384" width="9.140625" style="2" hidden="1"/>
  </cols>
  <sheetData>
    <row r="1" spans="3:8" x14ac:dyDescent="0.25">
      <c r="C1" s="147" t="s">
        <v>189</v>
      </c>
      <c r="D1" s="148"/>
      <c r="E1" s="148"/>
      <c r="F1" s="148"/>
      <c r="G1" s="148"/>
      <c r="H1" s="148"/>
    </row>
    <row r="2" spans="3:8" x14ac:dyDescent="0.25">
      <c r="C2" s="148"/>
      <c r="D2" s="148"/>
      <c r="E2" s="148"/>
      <c r="F2" s="148"/>
      <c r="G2" s="148"/>
      <c r="H2" s="148"/>
    </row>
    <row r="3" spans="3:8" x14ac:dyDescent="0.25">
      <c r="C3" s="148"/>
      <c r="D3" s="148"/>
      <c r="E3" s="148"/>
      <c r="F3" s="148"/>
      <c r="G3" s="148"/>
      <c r="H3" s="148"/>
    </row>
    <row r="4" spans="3:8" x14ac:dyDescent="0.25"/>
    <row r="5" spans="3:8" x14ac:dyDescent="0.25"/>
    <row r="6" spans="3:8" x14ac:dyDescent="0.25"/>
    <row r="7" spans="3:8" x14ac:dyDescent="0.25"/>
    <row r="8" spans="3:8" x14ac:dyDescent="0.25"/>
    <row r="9" spans="3:8" x14ac:dyDescent="0.25"/>
    <row r="10" spans="3:8" x14ac:dyDescent="0.25"/>
    <row r="11" spans="3:8" x14ac:dyDescent="0.25"/>
    <row r="12" spans="3:8" x14ac:dyDescent="0.25"/>
    <row r="13" spans="3:8" x14ac:dyDescent="0.25"/>
    <row r="14" spans="3:8" x14ac:dyDescent="0.25"/>
    <row r="15" spans="3:8" x14ac:dyDescent="0.25"/>
    <row r="16" spans="3:8" x14ac:dyDescent="0.25"/>
    <row r="17" x14ac:dyDescent="0.25"/>
    <row r="18" x14ac:dyDescent="0.25"/>
    <row r="19" x14ac:dyDescent="0.25"/>
    <row r="20" x14ac:dyDescent="0.25"/>
  </sheetData>
  <sheetProtection password="CB7F" sheet="1" objects="1" scenarios="1"/>
  <mergeCells count="1">
    <mergeCell ref="C1:H3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WVW43"/>
  <sheetViews>
    <sheetView showGridLines="0" zoomScale="70" zoomScaleNormal="70" workbookViewId="0">
      <pane ySplit="4" topLeftCell="A12" activePane="bottomLeft" state="frozen"/>
      <selection pane="bottomLeft" activeCell="W18" sqref="W18"/>
    </sheetView>
  </sheetViews>
  <sheetFormatPr defaultColWidth="0" defaultRowHeight="12.75" zeroHeight="1" x14ac:dyDescent="0.25"/>
  <cols>
    <col min="1" max="1" width="24.140625" style="222" customWidth="1"/>
    <col min="2" max="2" width="10" style="220" hidden="1" customWidth="1"/>
    <col min="3" max="14" width="7.85546875" style="220" customWidth="1"/>
    <col min="15" max="15" width="8.5703125" style="220" customWidth="1"/>
    <col min="16" max="25" width="9.140625" style="220" customWidth="1"/>
    <col min="26" max="255" width="9.140625" style="220" hidden="1"/>
    <col min="256" max="256" width="1.5703125" style="220" hidden="1"/>
    <col min="257" max="257" width="24.140625" style="220" hidden="1"/>
    <col min="258" max="258" width="10" style="220" hidden="1"/>
    <col min="259" max="270" width="7.85546875" style="220" hidden="1"/>
    <col min="271" max="271" width="8.5703125" style="220" hidden="1"/>
    <col min="272" max="511" width="9.140625" style="220" hidden="1"/>
    <col min="512" max="512" width="1.5703125" style="220" hidden="1"/>
    <col min="513" max="513" width="24.140625" style="220" hidden="1"/>
    <col min="514" max="514" width="10" style="220" hidden="1"/>
    <col min="515" max="526" width="7.85546875" style="220" hidden="1"/>
    <col min="527" max="527" width="8.5703125" style="220" hidden="1"/>
    <col min="528" max="767" width="9.140625" style="220" hidden="1"/>
    <col min="768" max="768" width="1.5703125" style="220" hidden="1"/>
    <col min="769" max="769" width="24.140625" style="220" hidden="1"/>
    <col min="770" max="770" width="10" style="220" hidden="1"/>
    <col min="771" max="782" width="7.85546875" style="220" hidden="1"/>
    <col min="783" max="783" width="8.5703125" style="220" hidden="1"/>
    <col min="784" max="1023" width="9.140625" style="220" hidden="1"/>
    <col min="1024" max="1024" width="1.5703125" style="220" hidden="1"/>
    <col min="1025" max="1025" width="24.140625" style="220" hidden="1"/>
    <col min="1026" max="1026" width="10" style="220" hidden="1"/>
    <col min="1027" max="1038" width="7.85546875" style="220" hidden="1"/>
    <col min="1039" max="1039" width="8.5703125" style="220" hidden="1"/>
    <col min="1040" max="1279" width="9.140625" style="220" hidden="1"/>
    <col min="1280" max="1280" width="1.5703125" style="220" hidden="1"/>
    <col min="1281" max="1281" width="24.140625" style="220" hidden="1"/>
    <col min="1282" max="1282" width="10" style="220" hidden="1"/>
    <col min="1283" max="1294" width="7.85546875" style="220" hidden="1"/>
    <col min="1295" max="1295" width="8.5703125" style="220" hidden="1"/>
    <col min="1296" max="1535" width="9.140625" style="220" hidden="1"/>
    <col min="1536" max="1536" width="1.5703125" style="220" hidden="1"/>
    <col min="1537" max="1537" width="24.140625" style="220" hidden="1"/>
    <col min="1538" max="1538" width="10" style="220" hidden="1"/>
    <col min="1539" max="1550" width="7.85546875" style="220" hidden="1"/>
    <col min="1551" max="1551" width="8.5703125" style="220" hidden="1"/>
    <col min="1552" max="1791" width="9.140625" style="220" hidden="1"/>
    <col min="1792" max="1792" width="1.5703125" style="220" hidden="1"/>
    <col min="1793" max="1793" width="24.140625" style="220" hidden="1"/>
    <col min="1794" max="1794" width="10" style="220" hidden="1"/>
    <col min="1795" max="1806" width="7.85546875" style="220" hidden="1"/>
    <col min="1807" max="1807" width="8.5703125" style="220" hidden="1"/>
    <col min="1808" max="2047" width="9.140625" style="220" hidden="1"/>
    <col min="2048" max="2048" width="1.5703125" style="220" hidden="1"/>
    <col min="2049" max="2049" width="24.140625" style="220" hidden="1"/>
    <col min="2050" max="2050" width="10" style="220" hidden="1"/>
    <col min="2051" max="2062" width="7.85546875" style="220" hidden="1"/>
    <col min="2063" max="2063" width="8.5703125" style="220" hidden="1"/>
    <col min="2064" max="2303" width="9.140625" style="220" hidden="1"/>
    <col min="2304" max="2304" width="1.5703125" style="220" hidden="1"/>
    <col min="2305" max="2305" width="24.140625" style="220" hidden="1"/>
    <col min="2306" max="2306" width="10" style="220" hidden="1"/>
    <col min="2307" max="2318" width="7.85546875" style="220" hidden="1"/>
    <col min="2319" max="2319" width="8.5703125" style="220" hidden="1"/>
    <col min="2320" max="2559" width="9.140625" style="220" hidden="1"/>
    <col min="2560" max="2560" width="1.5703125" style="220" hidden="1"/>
    <col min="2561" max="2561" width="24.140625" style="220" hidden="1"/>
    <col min="2562" max="2562" width="10" style="220" hidden="1"/>
    <col min="2563" max="2574" width="7.85546875" style="220" hidden="1"/>
    <col min="2575" max="2575" width="8.5703125" style="220" hidden="1"/>
    <col min="2576" max="2815" width="9.140625" style="220" hidden="1"/>
    <col min="2816" max="2816" width="1.5703125" style="220" hidden="1"/>
    <col min="2817" max="2817" width="24.140625" style="220" hidden="1"/>
    <col min="2818" max="2818" width="10" style="220" hidden="1"/>
    <col min="2819" max="2830" width="7.85546875" style="220" hidden="1"/>
    <col min="2831" max="2831" width="8.5703125" style="220" hidden="1"/>
    <col min="2832" max="3071" width="9.140625" style="220" hidden="1"/>
    <col min="3072" max="3072" width="1.5703125" style="220" hidden="1"/>
    <col min="3073" max="3073" width="24.140625" style="220" hidden="1"/>
    <col min="3074" max="3074" width="10" style="220" hidden="1"/>
    <col min="3075" max="3086" width="7.85546875" style="220" hidden="1"/>
    <col min="3087" max="3087" width="8.5703125" style="220" hidden="1"/>
    <col min="3088" max="3327" width="9.140625" style="220" hidden="1"/>
    <col min="3328" max="3328" width="1.5703125" style="220" hidden="1"/>
    <col min="3329" max="3329" width="24.140625" style="220" hidden="1"/>
    <col min="3330" max="3330" width="10" style="220" hidden="1"/>
    <col min="3331" max="3342" width="7.85546875" style="220" hidden="1"/>
    <col min="3343" max="3343" width="8.5703125" style="220" hidden="1"/>
    <col min="3344" max="3583" width="9.140625" style="220" hidden="1"/>
    <col min="3584" max="3584" width="1.5703125" style="220" hidden="1"/>
    <col min="3585" max="3585" width="24.140625" style="220" hidden="1"/>
    <col min="3586" max="3586" width="10" style="220" hidden="1"/>
    <col min="3587" max="3598" width="7.85546875" style="220" hidden="1"/>
    <col min="3599" max="3599" width="8.5703125" style="220" hidden="1"/>
    <col min="3600" max="3839" width="9.140625" style="220" hidden="1"/>
    <col min="3840" max="3840" width="1.5703125" style="220" hidden="1"/>
    <col min="3841" max="3841" width="24.140625" style="220" hidden="1"/>
    <col min="3842" max="3842" width="10" style="220" hidden="1"/>
    <col min="3843" max="3854" width="7.85546875" style="220" hidden="1"/>
    <col min="3855" max="3855" width="8.5703125" style="220" hidden="1"/>
    <col min="3856" max="4095" width="9.140625" style="220" hidden="1"/>
    <col min="4096" max="4096" width="1.5703125" style="220" hidden="1"/>
    <col min="4097" max="4097" width="24.140625" style="220" hidden="1"/>
    <col min="4098" max="4098" width="10" style="220" hidden="1"/>
    <col min="4099" max="4110" width="7.85546875" style="220" hidden="1"/>
    <col min="4111" max="4111" width="8.5703125" style="220" hidden="1"/>
    <col min="4112" max="4351" width="9.140625" style="220" hidden="1"/>
    <col min="4352" max="4352" width="1.5703125" style="220" hidden="1"/>
    <col min="4353" max="4353" width="24.140625" style="220" hidden="1"/>
    <col min="4354" max="4354" width="10" style="220" hidden="1"/>
    <col min="4355" max="4366" width="7.85546875" style="220" hidden="1"/>
    <col min="4367" max="4367" width="8.5703125" style="220" hidden="1"/>
    <col min="4368" max="4607" width="9.140625" style="220" hidden="1"/>
    <col min="4608" max="4608" width="1.5703125" style="220" hidden="1"/>
    <col min="4609" max="4609" width="24.140625" style="220" hidden="1"/>
    <col min="4610" max="4610" width="10" style="220" hidden="1"/>
    <col min="4611" max="4622" width="7.85546875" style="220" hidden="1"/>
    <col min="4623" max="4623" width="8.5703125" style="220" hidden="1"/>
    <col min="4624" max="4863" width="9.140625" style="220" hidden="1"/>
    <col min="4864" max="4864" width="1.5703125" style="220" hidden="1"/>
    <col min="4865" max="4865" width="24.140625" style="220" hidden="1"/>
    <col min="4866" max="4866" width="10" style="220" hidden="1"/>
    <col min="4867" max="4878" width="7.85546875" style="220" hidden="1"/>
    <col min="4879" max="4879" width="8.5703125" style="220" hidden="1"/>
    <col min="4880" max="5119" width="9.140625" style="220" hidden="1"/>
    <col min="5120" max="5120" width="1.5703125" style="220" hidden="1"/>
    <col min="5121" max="5121" width="24.140625" style="220" hidden="1"/>
    <col min="5122" max="5122" width="10" style="220" hidden="1"/>
    <col min="5123" max="5134" width="7.85546875" style="220" hidden="1"/>
    <col min="5135" max="5135" width="8.5703125" style="220" hidden="1"/>
    <col min="5136" max="5375" width="9.140625" style="220" hidden="1"/>
    <col min="5376" max="5376" width="1.5703125" style="220" hidden="1"/>
    <col min="5377" max="5377" width="24.140625" style="220" hidden="1"/>
    <col min="5378" max="5378" width="10" style="220" hidden="1"/>
    <col min="5379" max="5390" width="7.85546875" style="220" hidden="1"/>
    <col min="5391" max="5391" width="8.5703125" style="220" hidden="1"/>
    <col min="5392" max="5631" width="9.140625" style="220" hidden="1"/>
    <col min="5632" max="5632" width="1.5703125" style="220" hidden="1"/>
    <col min="5633" max="5633" width="24.140625" style="220" hidden="1"/>
    <col min="5634" max="5634" width="10" style="220" hidden="1"/>
    <col min="5635" max="5646" width="7.85546875" style="220" hidden="1"/>
    <col min="5647" max="5647" width="8.5703125" style="220" hidden="1"/>
    <col min="5648" max="5887" width="9.140625" style="220" hidden="1"/>
    <col min="5888" max="5888" width="1.5703125" style="220" hidden="1"/>
    <col min="5889" max="5889" width="24.140625" style="220" hidden="1"/>
    <col min="5890" max="5890" width="10" style="220" hidden="1"/>
    <col min="5891" max="5902" width="7.85546875" style="220" hidden="1"/>
    <col min="5903" max="5903" width="8.5703125" style="220" hidden="1"/>
    <col min="5904" max="6143" width="9.140625" style="220" hidden="1"/>
    <col min="6144" max="6144" width="1.5703125" style="220" hidden="1"/>
    <col min="6145" max="6145" width="24.140625" style="220" hidden="1"/>
    <col min="6146" max="6146" width="10" style="220" hidden="1"/>
    <col min="6147" max="6158" width="7.85546875" style="220" hidden="1"/>
    <col min="6159" max="6159" width="8.5703125" style="220" hidden="1"/>
    <col min="6160" max="6399" width="9.140625" style="220" hidden="1"/>
    <col min="6400" max="6400" width="1.5703125" style="220" hidden="1"/>
    <col min="6401" max="6401" width="24.140625" style="220" hidden="1"/>
    <col min="6402" max="6402" width="10" style="220" hidden="1"/>
    <col min="6403" max="6414" width="7.85546875" style="220" hidden="1"/>
    <col min="6415" max="6415" width="8.5703125" style="220" hidden="1"/>
    <col min="6416" max="6655" width="9.140625" style="220" hidden="1"/>
    <col min="6656" max="6656" width="1.5703125" style="220" hidden="1"/>
    <col min="6657" max="6657" width="24.140625" style="220" hidden="1"/>
    <col min="6658" max="6658" width="10" style="220" hidden="1"/>
    <col min="6659" max="6670" width="7.85546875" style="220" hidden="1"/>
    <col min="6671" max="6671" width="8.5703125" style="220" hidden="1"/>
    <col min="6672" max="6911" width="9.140625" style="220" hidden="1"/>
    <col min="6912" max="6912" width="1.5703125" style="220" hidden="1"/>
    <col min="6913" max="6913" width="24.140625" style="220" hidden="1"/>
    <col min="6914" max="6914" width="10" style="220" hidden="1"/>
    <col min="6915" max="6926" width="7.85546875" style="220" hidden="1"/>
    <col min="6927" max="6927" width="8.5703125" style="220" hidden="1"/>
    <col min="6928" max="7167" width="9.140625" style="220" hidden="1"/>
    <col min="7168" max="7168" width="1.5703125" style="220" hidden="1"/>
    <col min="7169" max="7169" width="24.140625" style="220" hidden="1"/>
    <col min="7170" max="7170" width="10" style="220" hidden="1"/>
    <col min="7171" max="7182" width="7.85546875" style="220" hidden="1"/>
    <col min="7183" max="7183" width="8.5703125" style="220" hidden="1"/>
    <col min="7184" max="7423" width="9.140625" style="220" hidden="1"/>
    <col min="7424" max="7424" width="1.5703125" style="220" hidden="1"/>
    <col min="7425" max="7425" width="24.140625" style="220" hidden="1"/>
    <col min="7426" max="7426" width="10" style="220" hidden="1"/>
    <col min="7427" max="7438" width="7.85546875" style="220" hidden="1"/>
    <col min="7439" max="7439" width="8.5703125" style="220" hidden="1"/>
    <col min="7440" max="7679" width="9.140625" style="220" hidden="1"/>
    <col min="7680" max="7680" width="1.5703125" style="220" hidden="1"/>
    <col min="7681" max="7681" width="24.140625" style="220" hidden="1"/>
    <col min="7682" max="7682" width="10" style="220" hidden="1"/>
    <col min="7683" max="7694" width="7.85546875" style="220" hidden="1"/>
    <col min="7695" max="7695" width="8.5703125" style="220" hidden="1"/>
    <col min="7696" max="7935" width="9.140625" style="220" hidden="1"/>
    <col min="7936" max="7936" width="1.5703125" style="220" hidden="1"/>
    <col min="7937" max="7937" width="24.140625" style="220" hidden="1"/>
    <col min="7938" max="7938" width="10" style="220" hidden="1"/>
    <col min="7939" max="7950" width="7.85546875" style="220" hidden="1"/>
    <col min="7951" max="7951" width="8.5703125" style="220" hidden="1"/>
    <col min="7952" max="8191" width="9.140625" style="220" hidden="1"/>
    <col min="8192" max="8192" width="1.5703125" style="220" hidden="1"/>
    <col min="8193" max="8193" width="24.140625" style="220" hidden="1"/>
    <col min="8194" max="8194" width="10" style="220" hidden="1"/>
    <col min="8195" max="8206" width="7.85546875" style="220" hidden="1"/>
    <col min="8207" max="8207" width="8.5703125" style="220" hidden="1"/>
    <col min="8208" max="8447" width="9.140625" style="220" hidden="1"/>
    <col min="8448" max="8448" width="1.5703125" style="220" hidden="1"/>
    <col min="8449" max="8449" width="24.140625" style="220" hidden="1"/>
    <col min="8450" max="8450" width="10" style="220" hidden="1"/>
    <col min="8451" max="8462" width="7.85546875" style="220" hidden="1"/>
    <col min="8463" max="8463" width="8.5703125" style="220" hidden="1"/>
    <col min="8464" max="8703" width="9.140625" style="220" hidden="1"/>
    <col min="8704" max="8704" width="1.5703125" style="220" hidden="1"/>
    <col min="8705" max="8705" width="24.140625" style="220" hidden="1"/>
    <col min="8706" max="8706" width="10" style="220" hidden="1"/>
    <col min="8707" max="8718" width="7.85546875" style="220" hidden="1"/>
    <col min="8719" max="8719" width="8.5703125" style="220" hidden="1"/>
    <col min="8720" max="8959" width="9.140625" style="220" hidden="1"/>
    <col min="8960" max="8960" width="1.5703125" style="220" hidden="1"/>
    <col min="8961" max="8961" width="24.140625" style="220" hidden="1"/>
    <col min="8962" max="8962" width="10" style="220" hidden="1"/>
    <col min="8963" max="8974" width="7.85546875" style="220" hidden="1"/>
    <col min="8975" max="8975" width="8.5703125" style="220" hidden="1"/>
    <col min="8976" max="9215" width="9.140625" style="220" hidden="1"/>
    <col min="9216" max="9216" width="1.5703125" style="220" hidden="1"/>
    <col min="9217" max="9217" width="24.140625" style="220" hidden="1"/>
    <col min="9218" max="9218" width="10" style="220" hidden="1"/>
    <col min="9219" max="9230" width="7.85546875" style="220" hidden="1"/>
    <col min="9231" max="9231" width="8.5703125" style="220" hidden="1"/>
    <col min="9232" max="9471" width="9.140625" style="220" hidden="1"/>
    <col min="9472" max="9472" width="1.5703125" style="220" hidden="1"/>
    <col min="9473" max="9473" width="24.140625" style="220" hidden="1"/>
    <col min="9474" max="9474" width="10" style="220" hidden="1"/>
    <col min="9475" max="9486" width="7.85546875" style="220" hidden="1"/>
    <col min="9487" max="9487" width="8.5703125" style="220" hidden="1"/>
    <col min="9488" max="9727" width="9.140625" style="220" hidden="1"/>
    <col min="9728" max="9728" width="1.5703125" style="220" hidden="1"/>
    <col min="9729" max="9729" width="24.140625" style="220" hidden="1"/>
    <col min="9730" max="9730" width="10" style="220" hidden="1"/>
    <col min="9731" max="9742" width="7.85546875" style="220" hidden="1"/>
    <col min="9743" max="9743" width="8.5703125" style="220" hidden="1"/>
    <col min="9744" max="9983" width="9.140625" style="220" hidden="1"/>
    <col min="9984" max="9984" width="1.5703125" style="220" hidden="1"/>
    <col min="9985" max="9985" width="24.140625" style="220" hidden="1"/>
    <col min="9986" max="9986" width="10" style="220" hidden="1"/>
    <col min="9987" max="9998" width="7.85546875" style="220" hidden="1"/>
    <col min="9999" max="9999" width="8.5703125" style="220" hidden="1"/>
    <col min="10000" max="10239" width="9.140625" style="220" hidden="1"/>
    <col min="10240" max="10240" width="1.5703125" style="220" hidden="1"/>
    <col min="10241" max="10241" width="24.140625" style="220" hidden="1"/>
    <col min="10242" max="10242" width="10" style="220" hidden="1"/>
    <col min="10243" max="10254" width="7.85546875" style="220" hidden="1"/>
    <col min="10255" max="10255" width="8.5703125" style="220" hidden="1"/>
    <col min="10256" max="10495" width="9.140625" style="220" hidden="1"/>
    <col min="10496" max="10496" width="1.5703125" style="220" hidden="1"/>
    <col min="10497" max="10497" width="24.140625" style="220" hidden="1"/>
    <col min="10498" max="10498" width="10" style="220" hidden="1"/>
    <col min="10499" max="10510" width="7.85546875" style="220" hidden="1"/>
    <col min="10511" max="10511" width="8.5703125" style="220" hidden="1"/>
    <col min="10512" max="10751" width="9.140625" style="220" hidden="1"/>
    <col min="10752" max="10752" width="1.5703125" style="220" hidden="1"/>
    <col min="10753" max="10753" width="24.140625" style="220" hidden="1"/>
    <col min="10754" max="10754" width="10" style="220" hidden="1"/>
    <col min="10755" max="10766" width="7.85546875" style="220" hidden="1"/>
    <col min="10767" max="10767" width="8.5703125" style="220" hidden="1"/>
    <col min="10768" max="11007" width="9.140625" style="220" hidden="1"/>
    <col min="11008" max="11008" width="1.5703125" style="220" hidden="1"/>
    <col min="11009" max="11009" width="24.140625" style="220" hidden="1"/>
    <col min="11010" max="11010" width="10" style="220" hidden="1"/>
    <col min="11011" max="11022" width="7.85546875" style="220" hidden="1"/>
    <col min="11023" max="11023" width="8.5703125" style="220" hidden="1"/>
    <col min="11024" max="11263" width="9.140625" style="220" hidden="1"/>
    <col min="11264" max="11264" width="1.5703125" style="220" hidden="1"/>
    <col min="11265" max="11265" width="24.140625" style="220" hidden="1"/>
    <col min="11266" max="11266" width="10" style="220" hidden="1"/>
    <col min="11267" max="11278" width="7.85546875" style="220" hidden="1"/>
    <col min="11279" max="11279" width="8.5703125" style="220" hidden="1"/>
    <col min="11280" max="11519" width="9.140625" style="220" hidden="1"/>
    <col min="11520" max="11520" width="1.5703125" style="220" hidden="1"/>
    <col min="11521" max="11521" width="24.140625" style="220" hidden="1"/>
    <col min="11522" max="11522" width="10" style="220" hidden="1"/>
    <col min="11523" max="11534" width="7.85546875" style="220" hidden="1"/>
    <col min="11535" max="11535" width="8.5703125" style="220" hidden="1"/>
    <col min="11536" max="11775" width="9.140625" style="220" hidden="1"/>
    <col min="11776" max="11776" width="1.5703125" style="220" hidden="1"/>
    <col min="11777" max="11777" width="24.140625" style="220" hidden="1"/>
    <col min="11778" max="11778" width="10" style="220" hidden="1"/>
    <col min="11779" max="11790" width="7.85546875" style="220" hidden="1"/>
    <col min="11791" max="11791" width="8.5703125" style="220" hidden="1"/>
    <col min="11792" max="12031" width="9.140625" style="220" hidden="1"/>
    <col min="12032" max="12032" width="1.5703125" style="220" hidden="1"/>
    <col min="12033" max="12033" width="24.140625" style="220" hidden="1"/>
    <col min="12034" max="12034" width="10" style="220" hidden="1"/>
    <col min="12035" max="12046" width="7.85546875" style="220" hidden="1"/>
    <col min="12047" max="12047" width="8.5703125" style="220" hidden="1"/>
    <col min="12048" max="12287" width="9.140625" style="220" hidden="1"/>
    <col min="12288" max="12288" width="1.5703125" style="220" hidden="1"/>
    <col min="12289" max="12289" width="24.140625" style="220" hidden="1"/>
    <col min="12290" max="12290" width="10" style="220" hidden="1"/>
    <col min="12291" max="12302" width="7.85546875" style="220" hidden="1"/>
    <col min="12303" max="12303" width="8.5703125" style="220" hidden="1"/>
    <col min="12304" max="12543" width="9.140625" style="220" hidden="1"/>
    <col min="12544" max="12544" width="1.5703125" style="220" hidden="1"/>
    <col min="12545" max="12545" width="24.140625" style="220" hidden="1"/>
    <col min="12546" max="12546" width="10" style="220" hidden="1"/>
    <col min="12547" max="12558" width="7.85546875" style="220" hidden="1"/>
    <col min="12559" max="12559" width="8.5703125" style="220" hidden="1"/>
    <col min="12560" max="12799" width="9.140625" style="220" hidden="1"/>
    <col min="12800" max="12800" width="1.5703125" style="220" hidden="1"/>
    <col min="12801" max="12801" width="24.140625" style="220" hidden="1"/>
    <col min="12802" max="12802" width="10" style="220" hidden="1"/>
    <col min="12803" max="12814" width="7.85546875" style="220" hidden="1"/>
    <col min="12815" max="12815" width="8.5703125" style="220" hidden="1"/>
    <col min="12816" max="13055" width="9.140625" style="220" hidden="1"/>
    <col min="13056" max="13056" width="1.5703125" style="220" hidden="1"/>
    <col min="13057" max="13057" width="24.140625" style="220" hidden="1"/>
    <col min="13058" max="13058" width="10" style="220" hidden="1"/>
    <col min="13059" max="13070" width="7.85546875" style="220" hidden="1"/>
    <col min="13071" max="13071" width="8.5703125" style="220" hidden="1"/>
    <col min="13072" max="13311" width="9.140625" style="220" hidden="1"/>
    <col min="13312" max="13312" width="1.5703125" style="220" hidden="1"/>
    <col min="13313" max="13313" width="24.140625" style="220" hidden="1"/>
    <col min="13314" max="13314" width="10" style="220" hidden="1"/>
    <col min="13315" max="13326" width="7.85546875" style="220" hidden="1"/>
    <col min="13327" max="13327" width="8.5703125" style="220" hidden="1"/>
    <col min="13328" max="13567" width="9.140625" style="220" hidden="1"/>
    <col min="13568" max="13568" width="1.5703125" style="220" hidden="1"/>
    <col min="13569" max="13569" width="24.140625" style="220" hidden="1"/>
    <col min="13570" max="13570" width="10" style="220" hidden="1"/>
    <col min="13571" max="13582" width="7.85546875" style="220" hidden="1"/>
    <col min="13583" max="13583" width="8.5703125" style="220" hidden="1"/>
    <col min="13584" max="13823" width="9.140625" style="220" hidden="1"/>
    <col min="13824" max="13824" width="1.5703125" style="220" hidden="1"/>
    <col min="13825" max="13825" width="24.140625" style="220" hidden="1"/>
    <col min="13826" max="13826" width="10" style="220" hidden="1"/>
    <col min="13827" max="13838" width="7.85546875" style="220" hidden="1"/>
    <col min="13839" max="13839" width="8.5703125" style="220" hidden="1"/>
    <col min="13840" max="14079" width="9.140625" style="220" hidden="1"/>
    <col min="14080" max="14080" width="1.5703125" style="220" hidden="1"/>
    <col min="14081" max="14081" width="24.140625" style="220" hidden="1"/>
    <col min="14082" max="14082" width="10" style="220" hidden="1"/>
    <col min="14083" max="14094" width="7.85546875" style="220" hidden="1"/>
    <col min="14095" max="14095" width="8.5703125" style="220" hidden="1"/>
    <col min="14096" max="14335" width="9.140625" style="220" hidden="1"/>
    <col min="14336" max="14336" width="1.5703125" style="220" hidden="1"/>
    <col min="14337" max="14337" width="24.140625" style="220" hidden="1"/>
    <col min="14338" max="14338" width="10" style="220" hidden="1"/>
    <col min="14339" max="14350" width="7.85546875" style="220" hidden="1"/>
    <col min="14351" max="14351" width="8.5703125" style="220" hidden="1"/>
    <col min="14352" max="14591" width="9.140625" style="220" hidden="1"/>
    <col min="14592" max="14592" width="1.5703125" style="220" hidden="1"/>
    <col min="14593" max="14593" width="24.140625" style="220" hidden="1"/>
    <col min="14594" max="14594" width="10" style="220" hidden="1"/>
    <col min="14595" max="14606" width="7.85546875" style="220" hidden="1"/>
    <col min="14607" max="14607" width="8.5703125" style="220" hidden="1"/>
    <col min="14608" max="14847" width="9.140625" style="220" hidden="1"/>
    <col min="14848" max="14848" width="1.5703125" style="220" hidden="1"/>
    <col min="14849" max="14849" width="24.140625" style="220" hidden="1"/>
    <col min="14850" max="14850" width="10" style="220" hidden="1"/>
    <col min="14851" max="14862" width="7.85546875" style="220" hidden="1"/>
    <col min="14863" max="14863" width="8.5703125" style="220" hidden="1"/>
    <col min="14864" max="15103" width="9.140625" style="220" hidden="1"/>
    <col min="15104" max="15104" width="1.5703125" style="220" hidden="1"/>
    <col min="15105" max="15105" width="24.140625" style="220" hidden="1"/>
    <col min="15106" max="15106" width="10" style="220" hidden="1"/>
    <col min="15107" max="15118" width="7.85546875" style="220" hidden="1"/>
    <col min="15119" max="15119" width="8.5703125" style="220" hidden="1"/>
    <col min="15120" max="15359" width="9.140625" style="220" hidden="1"/>
    <col min="15360" max="15360" width="1.5703125" style="220" hidden="1"/>
    <col min="15361" max="15361" width="24.140625" style="220" hidden="1"/>
    <col min="15362" max="15362" width="10" style="220" hidden="1"/>
    <col min="15363" max="15374" width="7.85546875" style="220" hidden="1"/>
    <col min="15375" max="15375" width="8.5703125" style="220" hidden="1"/>
    <col min="15376" max="15615" width="9.140625" style="220" hidden="1"/>
    <col min="15616" max="15616" width="1.5703125" style="220" hidden="1"/>
    <col min="15617" max="15617" width="24.140625" style="220" hidden="1"/>
    <col min="15618" max="15618" width="10" style="220" hidden="1"/>
    <col min="15619" max="15630" width="7.85546875" style="220" hidden="1"/>
    <col min="15631" max="15631" width="8.5703125" style="220" hidden="1"/>
    <col min="15632" max="15871" width="9.140625" style="220" hidden="1"/>
    <col min="15872" max="15872" width="1.5703125" style="220" hidden="1"/>
    <col min="15873" max="15873" width="24.140625" style="220" hidden="1"/>
    <col min="15874" max="15874" width="10" style="220" hidden="1"/>
    <col min="15875" max="15886" width="7.85546875" style="220" hidden="1"/>
    <col min="15887" max="15887" width="8.5703125" style="220" hidden="1"/>
    <col min="15888" max="16127" width="9.140625" style="220" hidden="1"/>
    <col min="16128" max="16129" width="4.42578125" style="220" hidden="1"/>
    <col min="16130" max="16130" width="10" style="220" hidden="1"/>
    <col min="16131" max="16142" width="7.85546875" style="220" hidden="1"/>
    <col min="16143" max="16143" width="8.5703125" style="220" hidden="1"/>
    <col min="16144" max="16384" width="9.140625" style="220" hidden="1"/>
  </cols>
  <sheetData>
    <row r="1" spans="1:15" ht="11.25" customHeight="1" x14ac:dyDescent="0.25"/>
    <row r="2" spans="1:15" s="221" customFormat="1" ht="27.75" customHeight="1" x14ac:dyDescent="0.2">
      <c r="G2" s="223" t="s">
        <v>102</v>
      </c>
      <c r="H2" s="223"/>
      <c r="I2" s="223"/>
      <c r="M2" s="223"/>
      <c r="N2" s="224" t="s">
        <v>79</v>
      </c>
      <c r="O2" s="225">
        <v>41275</v>
      </c>
    </row>
    <row r="3" spans="1:15" ht="3.75" customHeight="1" x14ac:dyDescent="0.25">
      <c r="A3" s="220"/>
      <c r="G3" s="226"/>
    </row>
    <row r="4" spans="1:15" ht="24.75" customHeight="1" x14ac:dyDescent="0.25">
      <c r="A4" s="227"/>
      <c r="B4" s="228" t="s">
        <v>80</v>
      </c>
      <c r="C4" s="229">
        <f>O2</f>
        <v>41275</v>
      </c>
      <c r="D4" s="229">
        <f>DATE(YEAR(C4),MONTH(C4)+1,1)</f>
        <v>41306</v>
      </c>
      <c r="E4" s="229">
        <f t="shared" ref="E4:N4" si="0">DATE(YEAR(D4),MONTH(D4)+1,1)</f>
        <v>41334</v>
      </c>
      <c r="F4" s="229">
        <f t="shared" si="0"/>
        <v>41365</v>
      </c>
      <c r="G4" s="229">
        <f t="shared" si="0"/>
        <v>41395</v>
      </c>
      <c r="H4" s="229">
        <f t="shared" si="0"/>
        <v>41426</v>
      </c>
      <c r="I4" s="229">
        <f t="shared" si="0"/>
        <v>41456</v>
      </c>
      <c r="J4" s="229">
        <f t="shared" si="0"/>
        <v>41487</v>
      </c>
      <c r="K4" s="229">
        <f t="shared" si="0"/>
        <v>41518</v>
      </c>
      <c r="L4" s="229">
        <f t="shared" si="0"/>
        <v>41548</v>
      </c>
      <c r="M4" s="229">
        <f t="shared" si="0"/>
        <v>41579</v>
      </c>
      <c r="N4" s="229">
        <f t="shared" si="0"/>
        <v>41609</v>
      </c>
      <c r="O4" s="230" t="s">
        <v>81</v>
      </c>
    </row>
    <row r="5" spans="1:15" ht="24" customHeight="1" x14ac:dyDescent="0.25">
      <c r="A5" s="231" t="s">
        <v>158</v>
      </c>
      <c r="B5" s="232">
        <v>120000</v>
      </c>
      <c r="C5" s="250">
        <f>B35</f>
        <v>118616.5</v>
      </c>
      <c r="D5" s="250">
        <f t="shared" ref="D5:N5" si="1">C35</f>
        <v>117467.53484000001</v>
      </c>
      <c r="E5" s="250">
        <f t="shared" si="1"/>
        <v>116318.56968000002</v>
      </c>
      <c r="F5" s="250">
        <f t="shared" si="1"/>
        <v>115169.60452000002</v>
      </c>
      <c r="G5" s="250">
        <f t="shared" si="1"/>
        <v>114020.63936000003</v>
      </c>
      <c r="H5" s="250">
        <f t="shared" si="1"/>
        <v>112871.67420000004</v>
      </c>
      <c r="I5" s="250">
        <f t="shared" si="1"/>
        <v>111722.70904000005</v>
      </c>
      <c r="J5" s="250">
        <f t="shared" si="1"/>
        <v>110573.74388000005</v>
      </c>
      <c r="K5" s="250">
        <f t="shared" si="1"/>
        <v>109424.77872000006</v>
      </c>
      <c r="L5" s="250">
        <f t="shared" si="1"/>
        <v>108275.81356000007</v>
      </c>
      <c r="M5" s="250">
        <f t="shared" si="1"/>
        <v>107126.84840000008</v>
      </c>
      <c r="N5" s="250">
        <f t="shared" si="1"/>
        <v>105977.88324000008</v>
      </c>
      <c r="O5" s="233">
        <f>N5</f>
        <v>105977.88324000008</v>
      </c>
    </row>
    <row r="6" spans="1:15" ht="18" customHeight="1" x14ac:dyDescent="0.25">
      <c r="A6" s="234" t="s">
        <v>82</v>
      </c>
      <c r="B6" s="235">
        <v>0</v>
      </c>
      <c r="C6" s="251">
        <v>3445</v>
      </c>
      <c r="D6" s="251">
        <v>3445</v>
      </c>
      <c r="E6" s="251">
        <v>3445</v>
      </c>
      <c r="F6" s="251">
        <v>3445</v>
      </c>
      <c r="G6" s="251">
        <v>3445</v>
      </c>
      <c r="H6" s="251">
        <v>3445</v>
      </c>
      <c r="I6" s="251">
        <v>3445</v>
      </c>
      <c r="J6" s="251">
        <v>3445</v>
      </c>
      <c r="K6" s="251">
        <v>3445</v>
      </c>
      <c r="L6" s="251">
        <v>3445</v>
      </c>
      <c r="M6" s="251">
        <v>3445</v>
      </c>
      <c r="N6" s="251">
        <v>3445</v>
      </c>
      <c r="O6" s="236">
        <f>SUM(C6:N6)</f>
        <v>41340</v>
      </c>
    </row>
    <row r="7" spans="1:15" ht="18" customHeight="1" x14ac:dyDescent="0.25">
      <c r="A7" s="237" t="s">
        <v>83</v>
      </c>
      <c r="B7" s="238">
        <v>0</v>
      </c>
      <c r="C7" s="252">
        <v>10000</v>
      </c>
      <c r="D7" s="252">
        <v>10000</v>
      </c>
      <c r="E7" s="252">
        <v>10000</v>
      </c>
      <c r="F7" s="252">
        <v>10000</v>
      </c>
      <c r="G7" s="252">
        <v>10000</v>
      </c>
      <c r="H7" s="252">
        <v>10000</v>
      </c>
      <c r="I7" s="252">
        <v>10000</v>
      </c>
      <c r="J7" s="252">
        <v>10000</v>
      </c>
      <c r="K7" s="252">
        <v>10000</v>
      </c>
      <c r="L7" s="252">
        <v>10000</v>
      </c>
      <c r="M7" s="252">
        <v>10000</v>
      </c>
      <c r="N7" s="252">
        <v>10000</v>
      </c>
      <c r="O7" s="239">
        <f>SUM(C7:N7)</f>
        <v>120000</v>
      </c>
    </row>
    <row r="8" spans="1:15" ht="18" customHeight="1" x14ac:dyDescent="0.25">
      <c r="A8" s="240" t="s">
        <v>84</v>
      </c>
      <c r="B8" s="235">
        <v>0</v>
      </c>
      <c r="C8" s="253">
        <v>500</v>
      </c>
      <c r="D8" s="253">
        <v>500</v>
      </c>
      <c r="E8" s="253">
        <v>500</v>
      </c>
      <c r="F8" s="253">
        <v>500</v>
      </c>
      <c r="G8" s="253">
        <v>500</v>
      </c>
      <c r="H8" s="253">
        <v>500</v>
      </c>
      <c r="I8" s="253">
        <v>500</v>
      </c>
      <c r="J8" s="253">
        <v>500</v>
      </c>
      <c r="K8" s="253">
        <v>500</v>
      </c>
      <c r="L8" s="253">
        <v>500</v>
      </c>
      <c r="M8" s="253">
        <v>500</v>
      </c>
      <c r="N8" s="253">
        <v>500</v>
      </c>
      <c r="O8" s="239">
        <f t="shared" ref="O8:O9" si="2">SUM(C8:N8)</f>
        <v>6000</v>
      </c>
    </row>
    <row r="9" spans="1:15" ht="18" customHeight="1" x14ac:dyDescent="0.25">
      <c r="A9" s="237" t="s">
        <v>85</v>
      </c>
      <c r="B9" s="238">
        <v>1000</v>
      </c>
      <c r="C9" s="251">
        <v>700</v>
      </c>
      <c r="D9" s="251">
        <v>700</v>
      </c>
      <c r="E9" s="251">
        <v>700</v>
      </c>
      <c r="F9" s="251">
        <v>700</v>
      </c>
      <c r="G9" s="251">
        <v>700</v>
      </c>
      <c r="H9" s="251">
        <v>700</v>
      </c>
      <c r="I9" s="251">
        <v>700</v>
      </c>
      <c r="J9" s="251">
        <v>700</v>
      </c>
      <c r="K9" s="251">
        <v>700</v>
      </c>
      <c r="L9" s="251">
        <v>700</v>
      </c>
      <c r="M9" s="251">
        <v>700</v>
      </c>
      <c r="N9" s="251">
        <v>700</v>
      </c>
      <c r="O9" s="239">
        <f t="shared" si="2"/>
        <v>8400</v>
      </c>
    </row>
    <row r="10" spans="1:15" ht="18" customHeight="1" x14ac:dyDescent="0.25">
      <c r="A10" s="231" t="s">
        <v>86</v>
      </c>
      <c r="B10" s="232">
        <f t="shared" ref="B10:N10" si="3">SUM(B7:B9)</f>
        <v>1000</v>
      </c>
      <c r="C10" s="250">
        <f t="shared" si="3"/>
        <v>11200</v>
      </c>
      <c r="D10" s="250">
        <f t="shared" si="3"/>
        <v>11200</v>
      </c>
      <c r="E10" s="250">
        <f t="shared" si="3"/>
        <v>11200</v>
      </c>
      <c r="F10" s="250">
        <f t="shared" si="3"/>
        <v>11200</v>
      </c>
      <c r="G10" s="250">
        <f t="shared" si="3"/>
        <v>11200</v>
      </c>
      <c r="H10" s="250">
        <f t="shared" si="3"/>
        <v>11200</v>
      </c>
      <c r="I10" s="250">
        <f t="shared" si="3"/>
        <v>11200</v>
      </c>
      <c r="J10" s="250">
        <f t="shared" si="3"/>
        <v>11200</v>
      </c>
      <c r="K10" s="250">
        <f t="shared" si="3"/>
        <v>11200</v>
      </c>
      <c r="L10" s="250">
        <f t="shared" si="3"/>
        <v>11200</v>
      </c>
      <c r="M10" s="250">
        <f t="shared" si="3"/>
        <v>11200</v>
      </c>
      <c r="N10" s="250">
        <f t="shared" si="3"/>
        <v>11200</v>
      </c>
      <c r="O10" s="233">
        <f t="shared" ref="O10" si="4">SUM(O7:O9)</f>
        <v>134400</v>
      </c>
    </row>
    <row r="11" spans="1:15" ht="24" customHeight="1" x14ac:dyDescent="0.25">
      <c r="A11" s="231" t="s">
        <v>159</v>
      </c>
      <c r="B11" s="232">
        <f t="shared" ref="B11:O11" si="5">(B5+B10)</f>
        <v>121000</v>
      </c>
      <c r="C11" s="250">
        <f t="shared" si="5"/>
        <v>129816.5</v>
      </c>
      <c r="D11" s="250">
        <f t="shared" si="5"/>
        <v>128667.53484000001</v>
      </c>
      <c r="E11" s="250">
        <f t="shared" si="5"/>
        <v>127518.56968000002</v>
      </c>
      <c r="F11" s="250">
        <f t="shared" si="5"/>
        <v>126369.60452000002</v>
      </c>
      <c r="G11" s="250">
        <f t="shared" si="5"/>
        <v>125220.63936000003</v>
      </c>
      <c r="H11" s="250">
        <f t="shared" si="5"/>
        <v>124071.67420000004</v>
      </c>
      <c r="I11" s="250">
        <f t="shared" si="5"/>
        <v>122922.70904000005</v>
      </c>
      <c r="J11" s="250">
        <f t="shared" si="5"/>
        <v>121773.74388000005</v>
      </c>
      <c r="K11" s="250">
        <f t="shared" si="5"/>
        <v>120624.77872000006</v>
      </c>
      <c r="L11" s="250">
        <f t="shared" si="5"/>
        <v>119475.81356000007</v>
      </c>
      <c r="M11" s="250">
        <f t="shared" si="5"/>
        <v>118326.84840000008</v>
      </c>
      <c r="N11" s="250">
        <f t="shared" si="5"/>
        <v>117177.88324000008</v>
      </c>
      <c r="O11" s="233">
        <f t="shared" si="5"/>
        <v>240377.88324000008</v>
      </c>
    </row>
    <row r="12" spans="1:15" ht="8.1" customHeight="1" x14ac:dyDescent="0.25">
      <c r="A12" s="241"/>
      <c r="B12" s="242"/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  <c r="O12" s="243"/>
    </row>
    <row r="13" spans="1:15" x14ac:dyDescent="0.25">
      <c r="A13" s="244" t="s">
        <v>87</v>
      </c>
      <c r="B13" s="238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39"/>
    </row>
    <row r="14" spans="1:15" ht="18" customHeight="1" x14ac:dyDescent="0.25">
      <c r="A14" s="240" t="s">
        <v>88</v>
      </c>
      <c r="B14" s="235"/>
      <c r="C14" s="255">
        <v>1000</v>
      </c>
      <c r="D14" s="255">
        <v>1000</v>
      </c>
      <c r="E14" s="255">
        <v>1000</v>
      </c>
      <c r="F14" s="255">
        <v>1000</v>
      </c>
      <c r="G14" s="255">
        <v>1000</v>
      </c>
      <c r="H14" s="255">
        <v>1000</v>
      </c>
      <c r="I14" s="255">
        <v>1000</v>
      </c>
      <c r="J14" s="255">
        <v>1000</v>
      </c>
      <c r="K14" s="255">
        <v>1000</v>
      </c>
      <c r="L14" s="255">
        <v>1000</v>
      </c>
      <c r="M14" s="255">
        <v>1000</v>
      </c>
      <c r="N14" s="255">
        <v>1000</v>
      </c>
      <c r="O14" s="236">
        <f>SUM(C14:N14)</f>
        <v>12000</v>
      </c>
    </row>
    <row r="15" spans="1:15" ht="27.75" customHeight="1" x14ac:dyDescent="0.25">
      <c r="A15" s="237" t="s">
        <v>89</v>
      </c>
      <c r="B15" s="238"/>
      <c r="C15" s="253">
        <f>SUM('Staff Payment'!M4:M13)</f>
        <v>3665.4651599999997</v>
      </c>
      <c r="D15" s="253">
        <f>SUM('Staff Payment'!N4:N13)</f>
        <v>3665.4651599999997</v>
      </c>
      <c r="E15" s="253">
        <f>SUM('Staff Payment'!O4:O13)</f>
        <v>3665.4651599999997</v>
      </c>
      <c r="F15" s="253">
        <f>SUM('Staff Payment'!P4:P13)</f>
        <v>3665.4651599999997</v>
      </c>
      <c r="G15" s="253">
        <f>SUM('Staff Payment'!Q4:Q13)</f>
        <v>3665.4651599999997</v>
      </c>
      <c r="H15" s="253">
        <f>SUM('Staff Payment'!R4:R13)</f>
        <v>3665.4651599999997</v>
      </c>
      <c r="I15" s="253">
        <f>SUM('Staff Payment'!S4:S13)</f>
        <v>3665.4651599999997</v>
      </c>
      <c r="J15" s="253">
        <f>SUM('Staff Payment'!T4:T13)</f>
        <v>3665.4651599999997</v>
      </c>
      <c r="K15" s="253">
        <f>SUM('Staff Payment'!U4:U13)</f>
        <v>3665.4651599999997</v>
      </c>
      <c r="L15" s="253">
        <f>SUM('Staff Payment'!V4:V13)</f>
        <v>3665.4651599999997</v>
      </c>
      <c r="M15" s="253">
        <f>SUM('Staff Payment'!W4:W13)</f>
        <v>3665.4651599999997</v>
      </c>
      <c r="N15" s="253">
        <f>SUM('Staff Payment'!X4:X13)</f>
        <v>3665.4651599999997</v>
      </c>
      <c r="O15" s="236">
        <f t="shared" ref="O15:O27" si="6">SUM(C15:N15)</f>
        <v>43985.581919999997</v>
      </c>
    </row>
    <row r="16" spans="1:15" ht="28.5" customHeight="1" x14ac:dyDescent="0.25">
      <c r="A16" s="240" t="s">
        <v>90</v>
      </c>
      <c r="B16" s="235"/>
      <c r="C16" s="255">
        <v>50</v>
      </c>
      <c r="D16" s="255">
        <v>50</v>
      </c>
      <c r="E16" s="255">
        <v>50</v>
      </c>
      <c r="F16" s="255">
        <v>50</v>
      </c>
      <c r="G16" s="255">
        <v>50</v>
      </c>
      <c r="H16" s="255">
        <v>50</v>
      </c>
      <c r="I16" s="255">
        <v>50</v>
      </c>
      <c r="J16" s="255">
        <v>50</v>
      </c>
      <c r="K16" s="255">
        <v>50</v>
      </c>
      <c r="L16" s="255">
        <v>50</v>
      </c>
      <c r="M16" s="255">
        <v>50</v>
      </c>
      <c r="N16" s="255">
        <v>50</v>
      </c>
      <c r="O16" s="236">
        <f t="shared" si="6"/>
        <v>600</v>
      </c>
    </row>
    <row r="17" spans="1:15" ht="18" customHeight="1" x14ac:dyDescent="0.25">
      <c r="A17" s="237" t="s">
        <v>72</v>
      </c>
      <c r="B17" s="238">
        <v>106</v>
      </c>
      <c r="C17" s="253">
        <v>106</v>
      </c>
      <c r="D17" s="253">
        <v>106</v>
      </c>
      <c r="E17" s="253">
        <v>106</v>
      </c>
      <c r="F17" s="253">
        <v>106</v>
      </c>
      <c r="G17" s="253">
        <v>106</v>
      </c>
      <c r="H17" s="253">
        <v>106</v>
      </c>
      <c r="I17" s="253">
        <v>106</v>
      </c>
      <c r="J17" s="253">
        <v>106</v>
      </c>
      <c r="K17" s="253">
        <v>106</v>
      </c>
      <c r="L17" s="253">
        <v>106</v>
      </c>
      <c r="M17" s="253">
        <v>106</v>
      </c>
      <c r="N17" s="253">
        <v>106</v>
      </c>
      <c r="O17" s="236">
        <f t="shared" si="6"/>
        <v>1272</v>
      </c>
    </row>
    <row r="18" spans="1:15" ht="18" customHeight="1" x14ac:dyDescent="0.25">
      <c r="A18" s="240" t="s">
        <v>91</v>
      </c>
      <c r="B18" s="235">
        <v>101</v>
      </c>
      <c r="C18" s="252">
        <v>101</v>
      </c>
      <c r="D18" s="252">
        <v>101</v>
      </c>
      <c r="E18" s="252">
        <v>101</v>
      </c>
      <c r="F18" s="252">
        <v>101</v>
      </c>
      <c r="G18" s="252">
        <v>101</v>
      </c>
      <c r="H18" s="252">
        <v>101</v>
      </c>
      <c r="I18" s="252">
        <v>101</v>
      </c>
      <c r="J18" s="252">
        <v>101</v>
      </c>
      <c r="K18" s="252">
        <v>101</v>
      </c>
      <c r="L18" s="252">
        <v>101</v>
      </c>
      <c r="M18" s="252">
        <v>101</v>
      </c>
      <c r="N18" s="252">
        <v>101</v>
      </c>
      <c r="O18" s="236">
        <f t="shared" si="6"/>
        <v>1212</v>
      </c>
    </row>
    <row r="19" spans="1:15" ht="18" customHeight="1" x14ac:dyDescent="0.25">
      <c r="A19" s="237" t="s">
        <v>92</v>
      </c>
      <c r="B19" s="238">
        <v>0</v>
      </c>
      <c r="C19" s="251">
        <v>190</v>
      </c>
      <c r="D19" s="251">
        <v>190</v>
      </c>
      <c r="E19" s="251">
        <v>190</v>
      </c>
      <c r="F19" s="251">
        <v>190</v>
      </c>
      <c r="G19" s="251">
        <v>190</v>
      </c>
      <c r="H19" s="251">
        <v>190</v>
      </c>
      <c r="I19" s="251">
        <v>190</v>
      </c>
      <c r="J19" s="251">
        <v>190</v>
      </c>
      <c r="K19" s="251">
        <v>190</v>
      </c>
      <c r="L19" s="251">
        <v>190</v>
      </c>
      <c r="M19" s="251">
        <v>190</v>
      </c>
      <c r="N19" s="251">
        <v>190</v>
      </c>
      <c r="O19" s="236">
        <f t="shared" si="6"/>
        <v>2280</v>
      </c>
    </row>
    <row r="20" spans="1:15" ht="18" customHeight="1" x14ac:dyDescent="0.25">
      <c r="A20" s="240" t="s">
        <v>73</v>
      </c>
      <c r="B20" s="235">
        <v>60</v>
      </c>
      <c r="C20" s="252">
        <v>60</v>
      </c>
      <c r="D20" s="252">
        <v>60</v>
      </c>
      <c r="E20" s="252">
        <v>60</v>
      </c>
      <c r="F20" s="252">
        <v>60</v>
      </c>
      <c r="G20" s="252">
        <v>60</v>
      </c>
      <c r="H20" s="252">
        <v>60</v>
      </c>
      <c r="I20" s="252">
        <v>60</v>
      </c>
      <c r="J20" s="252">
        <v>60</v>
      </c>
      <c r="K20" s="252">
        <v>60</v>
      </c>
      <c r="L20" s="252">
        <v>60</v>
      </c>
      <c r="M20" s="252">
        <v>60</v>
      </c>
      <c r="N20" s="252">
        <v>60</v>
      </c>
      <c r="O20" s="236">
        <f t="shared" si="6"/>
        <v>720</v>
      </c>
    </row>
    <row r="21" spans="1:15" ht="18" customHeight="1" x14ac:dyDescent="0.25">
      <c r="A21" s="237" t="s">
        <v>93</v>
      </c>
      <c r="B21" s="238">
        <v>600</v>
      </c>
      <c r="C21" s="253">
        <v>600</v>
      </c>
      <c r="D21" s="253">
        <v>600</v>
      </c>
      <c r="E21" s="253">
        <v>600</v>
      </c>
      <c r="F21" s="253">
        <v>600</v>
      </c>
      <c r="G21" s="253">
        <v>600</v>
      </c>
      <c r="H21" s="253">
        <v>600</v>
      </c>
      <c r="I21" s="253">
        <v>600</v>
      </c>
      <c r="J21" s="253">
        <v>600</v>
      </c>
      <c r="K21" s="253">
        <v>600</v>
      </c>
      <c r="L21" s="253">
        <v>600</v>
      </c>
      <c r="M21" s="253">
        <v>600</v>
      </c>
      <c r="N21" s="253">
        <v>600</v>
      </c>
      <c r="O21" s="236">
        <f t="shared" si="6"/>
        <v>7200</v>
      </c>
    </row>
    <row r="22" spans="1:15" ht="18" customHeight="1" x14ac:dyDescent="0.25">
      <c r="A22" s="240" t="s">
        <v>94</v>
      </c>
      <c r="B22" s="235">
        <v>400</v>
      </c>
      <c r="C22" s="252">
        <v>400</v>
      </c>
      <c r="D22" s="252">
        <v>400</v>
      </c>
      <c r="E22" s="252">
        <v>400</v>
      </c>
      <c r="F22" s="252">
        <v>400</v>
      </c>
      <c r="G22" s="252">
        <v>400</v>
      </c>
      <c r="H22" s="252">
        <v>400</v>
      </c>
      <c r="I22" s="252">
        <v>400</v>
      </c>
      <c r="J22" s="252">
        <v>400</v>
      </c>
      <c r="K22" s="252">
        <v>400</v>
      </c>
      <c r="L22" s="252">
        <v>400</v>
      </c>
      <c r="M22" s="252">
        <v>400</v>
      </c>
      <c r="N22" s="252">
        <v>400</v>
      </c>
      <c r="O22" s="236">
        <f t="shared" si="6"/>
        <v>4800</v>
      </c>
    </row>
    <row r="23" spans="1:15" ht="18" customHeight="1" x14ac:dyDescent="0.25">
      <c r="A23" s="237" t="s">
        <v>74</v>
      </c>
      <c r="B23" s="238">
        <v>600</v>
      </c>
      <c r="C23" s="253">
        <v>600</v>
      </c>
      <c r="D23" s="253">
        <v>600</v>
      </c>
      <c r="E23" s="253">
        <v>600</v>
      </c>
      <c r="F23" s="253">
        <v>600</v>
      </c>
      <c r="G23" s="253">
        <v>600</v>
      </c>
      <c r="H23" s="253">
        <v>600</v>
      </c>
      <c r="I23" s="253">
        <v>600</v>
      </c>
      <c r="J23" s="253">
        <v>600</v>
      </c>
      <c r="K23" s="253">
        <v>600</v>
      </c>
      <c r="L23" s="253">
        <v>600</v>
      </c>
      <c r="M23" s="253">
        <v>600</v>
      </c>
      <c r="N23" s="253">
        <v>600</v>
      </c>
      <c r="O23" s="236">
        <f t="shared" si="6"/>
        <v>7200</v>
      </c>
    </row>
    <row r="24" spans="1:15" ht="18" customHeight="1" x14ac:dyDescent="0.25">
      <c r="A24" s="240" t="s">
        <v>75</v>
      </c>
      <c r="B24" s="235">
        <v>16.5</v>
      </c>
      <c r="C24" s="252">
        <v>16.5</v>
      </c>
      <c r="D24" s="252">
        <v>16.5</v>
      </c>
      <c r="E24" s="252">
        <v>16.5</v>
      </c>
      <c r="F24" s="252">
        <v>16.5</v>
      </c>
      <c r="G24" s="252">
        <v>16.5</v>
      </c>
      <c r="H24" s="252">
        <v>16.5</v>
      </c>
      <c r="I24" s="252">
        <v>16.5</v>
      </c>
      <c r="J24" s="252">
        <v>16.5</v>
      </c>
      <c r="K24" s="252">
        <v>16.5</v>
      </c>
      <c r="L24" s="252">
        <v>16.5</v>
      </c>
      <c r="M24" s="252">
        <v>16.5</v>
      </c>
      <c r="N24" s="252">
        <v>16.5</v>
      </c>
      <c r="O24" s="236">
        <f t="shared" si="6"/>
        <v>198</v>
      </c>
    </row>
    <row r="25" spans="1:15" ht="18" customHeight="1" x14ac:dyDescent="0.25">
      <c r="A25" s="237" t="s">
        <v>76</v>
      </c>
      <c r="B25" s="238">
        <v>500</v>
      </c>
      <c r="C25" s="253">
        <v>500</v>
      </c>
      <c r="D25" s="253">
        <v>500</v>
      </c>
      <c r="E25" s="253">
        <v>500</v>
      </c>
      <c r="F25" s="253">
        <v>500</v>
      </c>
      <c r="G25" s="253">
        <v>500</v>
      </c>
      <c r="H25" s="253">
        <v>500</v>
      </c>
      <c r="I25" s="253">
        <v>500</v>
      </c>
      <c r="J25" s="253">
        <v>500</v>
      </c>
      <c r="K25" s="253">
        <v>500</v>
      </c>
      <c r="L25" s="253">
        <v>500</v>
      </c>
      <c r="M25" s="253">
        <v>500</v>
      </c>
      <c r="N25" s="253">
        <v>500</v>
      </c>
      <c r="O25" s="236">
        <f t="shared" si="6"/>
        <v>6000</v>
      </c>
    </row>
    <row r="26" spans="1:15" ht="18" customHeight="1" x14ac:dyDescent="0.25">
      <c r="A26" s="240" t="s">
        <v>77</v>
      </c>
      <c r="B26" s="235"/>
      <c r="C26" s="252">
        <v>2000</v>
      </c>
      <c r="D26" s="252">
        <v>2000</v>
      </c>
      <c r="E26" s="252">
        <v>2000</v>
      </c>
      <c r="F26" s="252">
        <v>2000</v>
      </c>
      <c r="G26" s="252">
        <v>2000</v>
      </c>
      <c r="H26" s="252">
        <v>2000</v>
      </c>
      <c r="I26" s="252">
        <v>2000</v>
      </c>
      <c r="J26" s="252">
        <v>2000</v>
      </c>
      <c r="K26" s="252">
        <v>2000</v>
      </c>
      <c r="L26" s="252">
        <v>2000</v>
      </c>
      <c r="M26" s="252">
        <v>2000</v>
      </c>
      <c r="N26" s="252">
        <v>2000</v>
      </c>
      <c r="O26" s="236">
        <f t="shared" si="6"/>
        <v>24000</v>
      </c>
    </row>
    <row r="27" spans="1:15" ht="18" customHeight="1" x14ac:dyDescent="0.25">
      <c r="A27" s="237" t="s">
        <v>78</v>
      </c>
      <c r="B27" s="238"/>
      <c r="C27" s="251">
        <f t="shared" ref="C27:N27" si="7">C7*17.5%</f>
        <v>1750</v>
      </c>
      <c r="D27" s="251">
        <f t="shared" si="7"/>
        <v>1750</v>
      </c>
      <c r="E27" s="251">
        <f t="shared" si="7"/>
        <v>1750</v>
      </c>
      <c r="F27" s="251">
        <f t="shared" si="7"/>
        <v>1750</v>
      </c>
      <c r="G27" s="251">
        <f t="shared" si="7"/>
        <v>1750</v>
      </c>
      <c r="H27" s="251">
        <f t="shared" si="7"/>
        <v>1750</v>
      </c>
      <c r="I27" s="251">
        <f t="shared" si="7"/>
        <v>1750</v>
      </c>
      <c r="J27" s="251">
        <f t="shared" si="7"/>
        <v>1750</v>
      </c>
      <c r="K27" s="251">
        <f t="shared" si="7"/>
        <v>1750</v>
      </c>
      <c r="L27" s="251">
        <f t="shared" si="7"/>
        <v>1750</v>
      </c>
      <c r="M27" s="251">
        <f t="shared" si="7"/>
        <v>1750</v>
      </c>
      <c r="N27" s="251">
        <f t="shared" si="7"/>
        <v>1750</v>
      </c>
      <c r="O27" s="236">
        <f t="shared" si="6"/>
        <v>21000</v>
      </c>
    </row>
    <row r="28" spans="1:15" ht="18" customHeight="1" x14ac:dyDescent="0.25">
      <c r="A28" s="231" t="s">
        <v>95</v>
      </c>
      <c r="B28" s="232">
        <f t="shared" ref="B28:O28" si="8">SUM(B14:B27)</f>
        <v>2383.5</v>
      </c>
      <c r="C28" s="250">
        <f t="shared" si="8"/>
        <v>11038.96516</v>
      </c>
      <c r="D28" s="250">
        <f t="shared" si="8"/>
        <v>11038.96516</v>
      </c>
      <c r="E28" s="250">
        <f t="shared" si="8"/>
        <v>11038.96516</v>
      </c>
      <c r="F28" s="250">
        <f t="shared" si="8"/>
        <v>11038.96516</v>
      </c>
      <c r="G28" s="250">
        <f t="shared" si="8"/>
        <v>11038.96516</v>
      </c>
      <c r="H28" s="250">
        <f t="shared" si="8"/>
        <v>11038.96516</v>
      </c>
      <c r="I28" s="250">
        <f t="shared" si="8"/>
        <v>11038.96516</v>
      </c>
      <c r="J28" s="250">
        <f t="shared" si="8"/>
        <v>11038.96516</v>
      </c>
      <c r="K28" s="250">
        <f t="shared" si="8"/>
        <v>11038.96516</v>
      </c>
      <c r="L28" s="250">
        <f t="shared" si="8"/>
        <v>11038.96516</v>
      </c>
      <c r="M28" s="250">
        <f t="shared" si="8"/>
        <v>11038.96516</v>
      </c>
      <c r="N28" s="250">
        <f t="shared" si="8"/>
        <v>11038.96516</v>
      </c>
      <c r="O28" s="233">
        <f t="shared" si="8"/>
        <v>132467.58192</v>
      </c>
    </row>
    <row r="29" spans="1:15" ht="18" customHeight="1" x14ac:dyDescent="0.25">
      <c r="A29" s="237" t="s">
        <v>96</v>
      </c>
      <c r="B29" s="238"/>
      <c r="C29" s="256">
        <v>500</v>
      </c>
      <c r="D29" s="256">
        <v>500</v>
      </c>
      <c r="E29" s="256">
        <v>500</v>
      </c>
      <c r="F29" s="256">
        <v>500</v>
      </c>
      <c r="G29" s="256">
        <v>500</v>
      </c>
      <c r="H29" s="256">
        <v>500</v>
      </c>
      <c r="I29" s="256">
        <v>500</v>
      </c>
      <c r="J29" s="256">
        <v>500</v>
      </c>
      <c r="K29" s="256">
        <v>500</v>
      </c>
      <c r="L29" s="256">
        <v>500</v>
      </c>
      <c r="M29" s="256">
        <v>500</v>
      </c>
      <c r="N29" s="256">
        <v>500</v>
      </c>
      <c r="O29" s="239">
        <f>SUM(C29:N29)</f>
        <v>6000</v>
      </c>
    </row>
    <row r="30" spans="1:15" ht="18" customHeight="1" x14ac:dyDescent="0.25">
      <c r="A30" s="240" t="s">
        <v>97</v>
      </c>
      <c r="B30" s="235"/>
      <c r="C30" s="257">
        <v>160</v>
      </c>
      <c r="D30" s="257">
        <v>160</v>
      </c>
      <c r="E30" s="257">
        <v>160</v>
      </c>
      <c r="F30" s="257">
        <v>160</v>
      </c>
      <c r="G30" s="257">
        <v>160</v>
      </c>
      <c r="H30" s="257">
        <v>160</v>
      </c>
      <c r="I30" s="257">
        <v>160</v>
      </c>
      <c r="J30" s="257">
        <v>160</v>
      </c>
      <c r="K30" s="257">
        <v>160</v>
      </c>
      <c r="L30" s="257">
        <v>160</v>
      </c>
      <c r="M30" s="257">
        <v>160</v>
      </c>
      <c r="N30" s="257">
        <v>160</v>
      </c>
      <c r="O30" s="239">
        <f t="shared" ref="O30:O33" si="9">SUM(C30:N30)</f>
        <v>1920</v>
      </c>
    </row>
    <row r="31" spans="1:15" ht="18" customHeight="1" x14ac:dyDescent="0.25">
      <c r="A31" s="237" t="s">
        <v>98</v>
      </c>
      <c r="B31" s="238"/>
      <c r="C31" s="256">
        <v>150</v>
      </c>
      <c r="D31" s="256">
        <v>150</v>
      </c>
      <c r="E31" s="256">
        <v>150</v>
      </c>
      <c r="F31" s="256">
        <v>150</v>
      </c>
      <c r="G31" s="256">
        <v>150</v>
      </c>
      <c r="H31" s="256">
        <v>150</v>
      </c>
      <c r="I31" s="256">
        <v>150</v>
      </c>
      <c r="J31" s="256">
        <v>150</v>
      </c>
      <c r="K31" s="256">
        <v>150</v>
      </c>
      <c r="L31" s="256">
        <v>150</v>
      </c>
      <c r="M31" s="256">
        <v>150</v>
      </c>
      <c r="N31" s="256">
        <v>150</v>
      </c>
      <c r="O31" s="239">
        <f t="shared" si="9"/>
        <v>1800</v>
      </c>
    </row>
    <row r="32" spans="1:15" ht="18" customHeight="1" x14ac:dyDescent="0.25">
      <c r="A32" s="240" t="s">
        <v>99</v>
      </c>
      <c r="B32" s="235"/>
      <c r="C32" s="257">
        <v>0</v>
      </c>
      <c r="D32" s="257">
        <v>0</v>
      </c>
      <c r="E32" s="257">
        <v>0</v>
      </c>
      <c r="F32" s="257">
        <v>0</v>
      </c>
      <c r="G32" s="257">
        <v>0</v>
      </c>
      <c r="H32" s="257">
        <v>0</v>
      </c>
      <c r="I32" s="257">
        <v>0</v>
      </c>
      <c r="J32" s="257">
        <v>0</v>
      </c>
      <c r="K32" s="257">
        <v>0</v>
      </c>
      <c r="L32" s="257">
        <v>0</v>
      </c>
      <c r="M32" s="257">
        <v>0</v>
      </c>
      <c r="N32" s="257">
        <v>0</v>
      </c>
      <c r="O32" s="239">
        <f t="shared" si="9"/>
        <v>0</v>
      </c>
    </row>
    <row r="33" spans="1:15" x14ac:dyDescent="0.25">
      <c r="A33" s="237" t="s">
        <v>100</v>
      </c>
      <c r="B33" s="238"/>
      <c r="C33" s="256">
        <v>500</v>
      </c>
      <c r="D33" s="256">
        <v>500</v>
      </c>
      <c r="E33" s="256">
        <v>500</v>
      </c>
      <c r="F33" s="256">
        <v>500</v>
      </c>
      <c r="G33" s="256">
        <v>500</v>
      </c>
      <c r="H33" s="256">
        <v>500</v>
      </c>
      <c r="I33" s="256">
        <v>500</v>
      </c>
      <c r="J33" s="256">
        <v>500</v>
      </c>
      <c r="K33" s="256">
        <v>500</v>
      </c>
      <c r="L33" s="256">
        <v>500</v>
      </c>
      <c r="M33" s="256">
        <v>500</v>
      </c>
      <c r="N33" s="256">
        <v>500</v>
      </c>
      <c r="O33" s="239">
        <f t="shared" si="9"/>
        <v>6000</v>
      </c>
    </row>
    <row r="34" spans="1:15" ht="30" customHeight="1" x14ac:dyDescent="0.25">
      <c r="A34" s="231" t="s">
        <v>101</v>
      </c>
      <c r="B34" s="232">
        <f>SUM(B28:B33)</f>
        <v>2383.5</v>
      </c>
      <c r="C34" s="250">
        <f t="shared" ref="C34:O34" si="10">SUM(C28:C33)</f>
        <v>12348.96516</v>
      </c>
      <c r="D34" s="250">
        <f t="shared" si="10"/>
        <v>12348.96516</v>
      </c>
      <c r="E34" s="250">
        <f t="shared" si="10"/>
        <v>12348.96516</v>
      </c>
      <c r="F34" s="250">
        <f t="shared" si="10"/>
        <v>12348.96516</v>
      </c>
      <c r="G34" s="250">
        <f t="shared" si="10"/>
        <v>12348.96516</v>
      </c>
      <c r="H34" s="250">
        <f t="shared" si="10"/>
        <v>12348.96516</v>
      </c>
      <c r="I34" s="250">
        <f t="shared" si="10"/>
        <v>12348.96516</v>
      </c>
      <c r="J34" s="250">
        <f t="shared" si="10"/>
        <v>12348.96516</v>
      </c>
      <c r="K34" s="250">
        <f t="shared" si="10"/>
        <v>12348.96516</v>
      </c>
      <c r="L34" s="250">
        <f t="shared" si="10"/>
        <v>12348.96516</v>
      </c>
      <c r="M34" s="250">
        <f t="shared" si="10"/>
        <v>12348.96516</v>
      </c>
      <c r="N34" s="250">
        <f t="shared" si="10"/>
        <v>12348.96516</v>
      </c>
      <c r="O34" s="233">
        <f t="shared" si="10"/>
        <v>148187.58192</v>
      </c>
    </row>
    <row r="35" spans="1:15" ht="28.5" customHeight="1" x14ac:dyDescent="0.25">
      <c r="A35" s="245" t="s">
        <v>160</v>
      </c>
      <c r="B35" s="246">
        <f t="shared" ref="B35:O35" si="11">(B11-B34)</f>
        <v>118616.5</v>
      </c>
      <c r="C35" s="258">
        <f t="shared" si="11"/>
        <v>117467.53484000001</v>
      </c>
      <c r="D35" s="258">
        <f t="shared" si="11"/>
        <v>116318.56968000002</v>
      </c>
      <c r="E35" s="258">
        <f t="shared" si="11"/>
        <v>115169.60452000002</v>
      </c>
      <c r="F35" s="258">
        <f t="shared" si="11"/>
        <v>114020.63936000003</v>
      </c>
      <c r="G35" s="258">
        <f t="shared" si="11"/>
        <v>112871.67420000004</v>
      </c>
      <c r="H35" s="258">
        <f t="shared" si="11"/>
        <v>111722.70904000005</v>
      </c>
      <c r="I35" s="258">
        <f t="shared" si="11"/>
        <v>110573.74388000005</v>
      </c>
      <c r="J35" s="258">
        <f t="shared" si="11"/>
        <v>109424.77872000006</v>
      </c>
      <c r="K35" s="258">
        <f t="shared" si="11"/>
        <v>108275.81356000007</v>
      </c>
      <c r="L35" s="258">
        <f t="shared" si="11"/>
        <v>107126.84840000008</v>
      </c>
      <c r="M35" s="258">
        <f t="shared" si="11"/>
        <v>105977.88324000008</v>
      </c>
      <c r="N35" s="258">
        <f t="shared" si="11"/>
        <v>104828.91808000009</v>
      </c>
      <c r="O35" s="247">
        <f t="shared" si="11"/>
        <v>92190.301320000086</v>
      </c>
    </row>
    <row r="36" spans="1:15" ht="8.1" customHeight="1" x14ac:dyDescent="0.25">
      <c r="A36" s="248"/>
    </row>
    <row r="37" spans="1:15" ht="18" customHeight="1" x14ac:dyDescent="0.25">
      <c r="A37" s="226"/>
    </row>
    <row r="38" spans="1:15" ht="18" hidden="1" customHeight="1" x14ac:dyDescent="0.25">
      <c r="B38" s="249"/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</row>
    <row r="39" spans="1:15" ht="18" hidden="1" customHeight="1" x14ac:dyDescent="0.25">
      <c r="B39" s="249"/>
      <c r="C39" s="249"/>
      <c r="D39" s="249"/>
      <c r="E39" s="249"/>
      <c r="F39" s="249"/>
      <c r="G39" s="249"/>
      <c r="H39" s="249"/>
      <c r="I39" s="249"/>
      <c r="J39" s="249"/>
      <c r="K39" s="249"/>
      <c r="L39" s="249"/>
      <c r="M39" s="249"/>
      <c r="N39" s="249"/>
      <c r="O39" s="249"/>
    </row>
    <row r="40" spans="1:15" ht="18" hidden="1" customHeight="1" x14ac:dyDescent="0.25"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</row>
    <row r="41" spans="1:15" ht="18" hidden="1" customHeight="1" x14ac:dyDescent="0.25">
      <c r="B41" s="249"/>
      <c r="C41" s="249"/>
      <c r="D41" s="249"/>
      <c r="E41" s="249"/>
      <c r="F41" s="249"/>
      <c r="G41" s="249"/>
      <c r="H41" s="249"/>
      <c r="I41" s="249"/>
      <c r="J41" s="249"/>
      <c r="K41" s="249"/>
      <c r="L41" s="249"/>
      <c r="M41" s="249"/>
      <c r="N41" s="249"/>
      <c r="O41" s="249"/>
    </row>
    <row r="42" spans="1:15" ht="18" hidden="1" customHeight="1" x14ac:dyDescent="0.25">
      <c r="B42" s="249"/>
      <c r="C42" s="249"/>
      <c r="D42" s="249"/>
      <c r="E42" s="249"/>
      <c r="F42" s="249"/>
      <c r="G42" s="249"/>
      <c r="H42" s="249"/>
      <c r="I42" s="249"/>
      <c r="J42" s="249"/>
      <c r="K42" s="249"/>
      <c r="L42" s="249"/>
      <c r="M42" s="249"/>
      <c r="N42" s="249"/>
      <c r="O42" s="249"/>
    </row>
    <row r="43" spans="1:15" ht="18" hidden="1" customHeight="1" x14ac:dyDescent="0.25">
      <c r="B43" s="249"/>
      <c r="C43" s="249"/>
      <c r="D43" s="249"/>
      <c r="E43" s="249"/>
      <c r="F43" s="249"/>
      <c r="G43" s="249"/>
      <c r="H43" s="249"/>
      <c r="I43" s="249"/>
      <c r="J43" s="249"/>
      <c r="K43" s="249"/>
      <c r="L43" s="249"/>
      <c r="M43" s="249"/>
      <c r="N43" s="249"/>
      <c r="O43" s="249"/>
    </row>
  </sheetData>
  <sheetProtection password="CB7F" sheet="1" objects="1" scenarios="1"/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AB27"/>
  <sheetViews>
    <sheetView showGridLines="0" zoomScaleNormal="100" workbookViewId="0">
      <selection activeCell="L9" sqref="L9"/>
    </sheetView>
  </sheetViews>
  <sheetFormatPr defaultColWidth="0" defaultRowHeight="15" zeroHeight="1" x14ac:dyDescent="0.25"/>
  <cols>
    <col min="1" max="1" width="8.85546875" style="2" bestFit="1" customWidth="1"/>
    <col min="2" max="2" width="14.28515625" style="2" bestFit="1" customWidth="1"/>
    <col min="3" max="3" width="15.42578125" style="2" bestFit="1" customWidth="1"/>
    <col min="4" max="4" width="12.140625" style="29" bestFit="1" customWidth="1"/>
    <col min="5" max="5" width="8.42578125" style="2" bestFit="1" customWidth="1"/>
    <col min="6" max="6" width="8.7109375" style="2" bestFit="1" customWidth="1"/>
    <col min="7" max="7" width="11.85546875" style="2" bestFit="1" customWidth="1"/>
    <col min="8" max="8" width="9.42578125" style="2" bestFit="1" customWidth="1"/>
    <col min="9" max="9" width="6.5703125" style="2" bestFit="1" customWidth="1"/>
    <col min="10" max="10" width="9" style="2" bestFit="1" customWidth="1"/>
    <col min="11" max="11" width="7.5703125" style="2" bestFit="1" customWidth="1"/>
    <col min="12" max="12" width="8.42578125" style="2" bestFit="1" customWidth="1"/>
    <col min="13" max="13" width="11" style="2" bestFit="1" customWidth="1"/>
    <col min="14" max="14" width="10.140625" style="2" bestFit="1" customWidth="1"/>
    <col min="15" max="15" width="11.28515625" style="2" bestFit="1" customWidth="1"/>
    <col min="16" max="16" width="11.42578125" style="2" bestFit="1" customWidth="1"/>
    <col min="17" max="24" width="10.140625" style="2" bestFit="1" customWidth="1"/>
    <col min="25" max="25" width="11.28515625" style="2" bestFit="1" customWidth="1"/>
    <col min="26" max="26" width="4" style="2" customWidth="1"/>
    <col min="27" max="27" width="11.42578125" style="2" hidden="1"/>
    <col min="28" max="28" width="0" style="2" hidden="1"/>
    <col min="29" max="16384" width="9.140625" style="2" hidden="1"/>
  </cols>
  <sheetData>
    <row r="1" spans="1:28" ht="36" customHeight="1" x14ac:dyDescent="0.25"/>
    <row r="2" spans="1:28" ht="15.75" x14ac:dyDescent="0.25">
      <c r="B2" s="31"/>
      <c r="C2" s="32"/>
      <c r="D2" s="33"/>
      <c r="E2" s="149" t="s">
        <v>16</v>
      </c>
      <c r="F2" s="150"/>
      <c r="G2" s="150"/>
      <c r="H2" s="150"/>
      <c r="I2" s="150"/>
      <c r="J2" s="151"/>
      <c r="K2" s="152"/>
      <c r="L2" s="149" t="s">
        <v>8</v>
      </c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4"/>
    </row>
    <row r="3" spans="1:28" x14ac:dyDescent="0.25">
      <c r="A3" s="30" t="s">
        <v>147</v>
      </c>
      <c r="B3" s="69" t="s">
        <v>174</v>
      </c>
      <c r="C3" s="76" t="s">
        <v>23</v>
      </c>
      <c r="D3" s="75" t="s">
        <v>10</v>
      </c>
      <c r="E3" s="30" t="s">
        <v>11</v>
      </c>
      <c r="F3" s="30" t="s">
        <v>12</v>
      </c>
      <c r="G3" s="30" t="s">
        <v>13</v>
      </c>
      <c r="H3" s="30" t="s">
        <v>14</v>
      </c>
      <c r="I3" s="30" t="s">
        <v>15</v>
      </c>
      <c r="J3" s="30" t="s">
        <v>20</v>
      </c>
      <c r="K3" s="30" t="s">
        <v>21</v>
      </c>
      <c r="L3" s="30" t="s">
        <v>22</v>
      </c>
      <c r="M3" s="34" t="s">
        <v>30</v>
      </c>
      <c r="N3" s="34" t="s">
        <v>31</v>
      </c>
      <c r="O3" s="34" t="s">
        <v>35</v>
      </c>
      <c r="P3" s="34" t="s">
        <v>36</v>
      </c>
      <c r="Q3" s="34" t="s">
        <v>24</v>
      </c>
      <c r="R3" s="34" t="s">
        <v>37</v>
      </c>
      <c r="S3" s="34" t="s">
        <v>25</v>
      </c>
      <c r="T3" s="34" t="s">
        <v>26</v>
      </c>
      <c r="U3" s="34" t="s">
        <v>38</v>
      </c>
      <c r="V3" s="34" t="s">
        <v>27</v>
      </c>
      <c r="W3" s="34" t="s">
        <v>28</v>
      </c>
      <c r="X3" s="34" t="s">
        <v>29</v>
      </c>
      <c r="Y3" s="30" t="s">
        <v>17</v>
      </c>
    </row>
    <row r="4" spans="1:28" ht="15.75" x14ac:dyDescent="0.25">
      <c r="A4" s="260" t="s">
        <v>204</v>
      </c>
      <c r="B4" s="261" t="s">
        <v>205</v>
      </c>
      <c r="C4" s="262" t="s">
        <v>109</v>
      </c>
      <c r="D4" s="263">
        <v>5</v>
      </c>
      <c r="E4" s="264">
        <v>7</v>
      </c>
      <c r="F4" s="265">
        <v>5</v>
      </c>
      <c r="G4" s="265">
        <v>8</v>
      </c>
      <c r="H4" s="265">
        <v>4</v>
      </c>
      <c r="I4" s="265">
        <v>7</v>
      </c>
      <c r="J4" s="265">
        <v>0</v>
      </c>
      <c r="K4" s="265">
        <v>9</v>
      </c>
      <c r="L4" s="35">
        <f t="shared" ref="L4:L13" si="0">SUM(E4:K4)*D4</f>
        <v>200</v>
      </c>
      <c r="M4" s="33">
        <f>($L$4*4.34812)-(($D$4*$F$4)*C17)</f>
        <v>869.62399999999991</v>
      </c>
      <c r="N4" s="33">
        <f t="shared" ref="N4:X4" si="1">($L$4*4.34812)-(($D$4*$F$4)*D17)</f>
        <v>869.62399999999991</v>
      </c>
      <c r="O4" s="33">
        <f t="shared" si="1"/>
        <v>869.62399999999991</v>
      </c>
      <c r="P4" s="33">
        <f t="shared" si="1"/>
        <v>869.62399999999991</v>
      </c>
      <c r="Q4" s="33">
        <f t="shared" si="1"/>
        <v>869.62399999999991</v>
      </c>
      <c r="R4" s="33">
        <f t="shared" si="1"/>
        <v>869.62399999999991</v>
      </c>
      <c r="S4" s="33">
        <f t="shared" si="1"/>
        <v>869.62399999999991</v>
      </c>
      <c r="T4" s="33">
        <f t="shared" si="1"/>
        <v>869.62399999999991</v>
      </c>
      <c r="U4" s="33">
        <f t="shared" si="1"/>
        <v>869.62399999999991</v>
      </c>
      <c r="V4" s="33">
        <f t="shared" si="1"/>
        <v>869.62399999999991</v>
      </c>
      <c r="W4" s="33">
        <f t="shared" si="1"/>
        <v>869.62399999999991</v>
      </c>
      <c r="X4" s="33">
        <f t="shared" si="1"/>
        <v>869.62399999999991</v>
      </c>
      <c r="Y4" s="36">
        <f>SUM(M4:X4)</f>
        <v>10435.487999999999</v>
      </c>
    </row>
    <row r="5" spans="1:28" ht="15.75" x14ac:dyDescent="0.25">
      <c r="A5" s="260" t="s">
        <v>206</v>
      </c>
      <c r="B5" s="260" t="s">
        <v>207</v>
      </c>
      <c r="C5" s="266" t="s">
        <v>111</v>
      </c>
      <c r="D5" s="263">
        <v>5</v>
      </c>
      <c r="E5" s="267">
        <v>4</v>
      </c>
      <c r="F5" s="265">
        <v>8</v>
      </c>
      <c r="G5" s="265">
        <v>7</v>
      </c>
      <c r="H5" s="265">
        <v>10</v>
      </c>
      <c r="I5" s="265">
        <v>6</v>
      </c>
      <c r="J5" s="265">
        <v>5</v>
      </c>
      <c r="K5" s="265">
        <v>4</v>
      </c>
      <c r="L5" s="35">
        <f t="shared" si="0"/>
        <v>220</v>
      </c>
      <c r="M5" s="33">
        <f>($L$5*4.34812)-(($D$5*$F$5)*C18)</f>
        <v>956.58639999999991</v>
      </c>
      <c r="N5" s="33">
        <f t="shared" ref="N5:X5" si="2">($L$5*4.34812)-(($D$5*$F$5)*D18)</f>
        <v>956.58639999999991</v>
      </c>
      <c r="O5" s="33">
        <f t="shared" si="2"/>
        <v>956.58639999999991</v>
      </c>
      <c r="P5" s="33">
        <f t="shared" si="2"/>
        <v>956.58639999999991</v>
      </c>
      <c r="Q5" s="33">
        <f t="shared" si="2"/>
        <v>956.58639999999991</v>
      </c>
      <c r="R5" s="33">
        <f t="shared" si="2"/>
        <v>956.58639999999991</v>
      </c>
      <c r="S5" s="33">
        <f t="shared" si="2"/>
        <v>956.58639999999991</v>
      </c>
      <c r="T5" s="33">
        <f t="shared" si="2"/>
        <v>956.58639999999991</v>
      </c>
      <c r="U5" s="33">
        <f t="shared" si="2"/>
        <v>956.58639999999991</v>
      </c>
      <c r="V5" s="33">
        <f t="shared" si="2"/>
        <v>956.58639999999991</v>
      </c>
      <c r="W5" s="33">
        <f t="shared" si="2"/>
        <v>956.58639999999991</v>
      </c>
      <c r="X5" s="33">
        <f t="shared" si="2"/>
        <v>956.58639999999991</v>
      </c>
      <c r="Y5" s="36">
        <f t="shared" ref="Y5:Y13" si="3">SUM(M5:X5)</f>
        <v>11479.0368</v>
      </c>
    </row>
    <row r="6" spans="1:28" ht="15.75" x14ac:dyDescent="0.25">
      <c r="A6" s="260" t="s">
        <v>200</v>
      </c>
      <c r="B6" s="260" t="s">
        <v>201</v>
      </c>
      <c r="C6" s="266" t="s">
        <v>109</v>
      </c>
      <c r="D6" s="263">
        <v>9</v>
      </c>
      <c r="E6" s="267">
        <v>9</v>
      </c>
      <c r="F6" s="265">
        <v>9</v>
      </c>
      <c r="G6" s="265">
        <v>9</v>
      </c>
      <c r="H6" s="265">
        <v>5</v>
      </c>
      <c r="I6" s="265">
        <v>4</v>
      </c>
      <c r="J6" s="265">
        <v>1</v>
      </c>
      <c r="K6" s="265">
        <v>10</v>
      </c>
      <c r="L6" s="35">
        <f t="shared" si="0"/>
        <v>423</v>
      </c>
      <c r="M6" s="33">
        <f>($L$6*4.34812)-(($D$6*$F$6)*C19)</f>
        <v>1839.2547599999998</v>
      </c>
      <c r="N6" s="33">
        <f t="shared" ref="N6:W6" si="4">($L$6*4.34812)-(($D$6*$F$6)*D19)</f>
        <v>1839.2547599999998</v>
      </c>
      <c r="O6" s="33">
        <f t="shared" si="4"/>
        <v>1839.2547599999998</v>
      </c>
      <c r="P6" s="33">
        <f t="shared" si="4"/>
        <v>1839.2547599999998</v>
      </c>
      <c r="Q6" s="33">
        <f t="shared" si="4"/>
        <v>1839.2547599999998</v>
      </c>
      <c r="R6" s="33">
        <f t="shared" si="4"/>
        <v>1839.2547599999998</v>
      </c>
      <c r="S6" s="33">
        <f t="shared" si="4"/>
        <v>1839.2547599999998</v>
      </c>
      <c r="T6" s="33">
        <f t="shared" si="4"/>
        <v>1839.2547599999998</v>
      </c>
      <c r="U6" s="33">
        <f t="shared" si="4"/>
        <v>1839.2547599999998</v>
      </c>
      <c r="V6" s="33">
        <f t="shared" si="4"/>
        <v>1839.2547599999998</v>
      </c>
      <c r="W6" s="33">
        <f t="shared" si="4"/>
        <v>1839.2547599999998</v>
      </c>
      <c r="X6" s="33">
        <f>($L$6*4.34812)-(($D$6*$F$6)*N19)</f>
        <v>1839.2547599999998</v>
      </c>
      <c r="Y6" s="36">
        <f t="shared" si="3"/>
        <v>22071.057119999998</v>
      </c>
    </row>
    <row r="7" spans="1:28" ht="15.75" x14ac:dyDescent="0.25">
      <c r="A7" s="260"/>
      <c r="B7" s="260"/>
      <c r="C7" s="266" t="s">
        <v>170</v>
      </c>
      <c r="D7" s="263">
        <v>0</v>
      </c>
      <c r="E7" s="267">
        <v>0</v>
      </c>
      <c r="F7" s="265">
        <v>0</v>
      </c>
      <c r="G7" s="265">
        <v>0</v>
      </c>
      <c r="H7" s="265">
        <v>0</v>
      </c>
      <c r="I7" s="265">
        <v>0</v>
      </c>
      <c r="J7" s="265">
        <v>0</v>
      </c>
      <c r="K7" s="265">
        <v>0</v>
      </c>
      <c r="L7" s="35">
        <f t="shared" si="0"/>
        <v>0</v>
      </c>
      <c r="M7" s="33">
        <f>($L$7*4.34812)-(($D$7*$F$7)*C20)</f>
        <v>0</v>
      </c>
      <c r="N7" s="33">
        <f t="shared" ref="N7:X7" si="5">($L$7*4.34812)-(($D$7*$F$7)*D20)</f>
        <v>0</v>
      </c>
      <c r="O7" s="33">
        <f t="shared" si="5"/>
        <v>0</v>
      </c>
      <c r="P7" s="33">
        <f t="shared" si="5"/>
        <v>0</v>
      </c>
      <c r="Q7" s="33">
        <f t="shared" si="5"/>
        <v>0</v>
      </c>
      <c r="R7" s="33">
        <f t="shared" si="5"/>
        <v>0</v>
      </c>
      <c r="S7" s="33">
        <f t="shared" si="5"/>
        <v>0</v>
      </c>
      <c r="T7" s="33">
        <f t="shared" si="5"/>
        <v>0</v>
      </c>
      <c r="U7" s="33">
        <f t="shared" si="5"/>
        <v>0</v>
      </c>
      <c r="V7" s="33">
        <f t="shared" si="5"/>
        <v>0</v>
      </c>
      <c r="W7" s="33">
        <f t="shared" si="5"/>
        <v>0</v>
      </c>
      <c r="X7" s="33">
        <f t="shared" si="5"/>
        <v>0</v>
      </c>
      <c r="Y7" s="36">
        <f t="shared" si="3"/>
        <v>0</v>
      </c>
    </row>
    <row r="8" spans="1:28" ht="15.75" x14ac:dyDescent="0.25">
      <c r="A8" s="260"/>
      <c r="B8" s="260"/>
      <c r="C8" s="266" t="s">
        <v>170</v>
      </c>
      <c r="D8" s="263">
        <v>0</v>
      </c>
      <c r="E8" s="267">
        <v>0</v>
      </c>
      <c r="F8" s="265">
        <v>0</v>
      </c>
      <c r="G8" s="265">
        <v>0</v>
      </c>
      <c r="H8" s="265">
        <v>0</v>
      </c>
      <c r="I8" s="265">
        <v>0</v>
      </c>
      <c r="J8" s="265">
        <v>0</v>
      </c>
      <c r="K8" s="265">
        <v>0</v>
      </c>
      <c r="L8" s="35">
        <f t="shared" si="0"/>
        <v>0</v>
      </c>
      <c r="M8" s="33">
        <f>($L$8*4.34812)-(($D$8*$F$8)*C21)</f>
        <v>0</v>
      </c>
      <c r="N8" s="33">
        <f t="shared" ref="N8:X8" si="6">($L$8*4.34812)-(($D$8*$F$8)*D21)</f>
        <v>0</v>
      </c>
      <c r="O8" s="33">
        <f t="shared" si="6"/>
        <v>0</v>
      </c>
      <c r="P8" s="33">
        <f t="shared" si="6"/>
        <v>0</v>
      </c>
      <c r="Q8" s="33">
        <f t="shared" si="6"/>
        <v>0</v>
      </c>
      <c r="R8" s="33">
        <f t="shared" si="6"/>
        <v>0</v>
      </c>
      <c r="S8" s="33">
        <f t="shared" si="6"/>
        <v>0</v>
      </c>
      <c r="T8" s="33">
        <f t="shared" si="6"/>
        <v>0</v>
      </c>
      <c r="U8" s="33">
        <f t="shared" si="6"/>
        <v>0</v>
      </c>
      <c r="V8" s="33">
        <f t="shared" si="6"/>
        <v>0</v>
      </c>
      <c r="W8" s="33">
        <f t="shared" si="6"/>
        <v>0</v>
      </c>
      <c r="X8" s="33">
        <f t="shared" si="6"/>
        <v>0</v>
      </c>
      <c r="Y8" s="36">
        <f t="shared" si="3"/>
        <v>0</v>
      </c>
    </row>
    <row r="9" spans="1:28" ht="15.75" x14ac:dyDescent="0.25">
      <c r="A9" s="260"/>
      <c r="B9" s="260"/>
      <c r="C9" s="266" t="s">
        <v>170</v>
      </c>
      <c r="D9" s="263">
        <v>0</v>
      </c>
      <c r="E9" s="267">
        <v>0</v>
      </c>
      <c r="F9" s="265">
        <v>0</v>
      </c>
      <c r="G9" s="265">
        <v>0</v>
      </c>
      <c r="H9" s="265">
        <v>0</v>
      </c>
      <c r="I9" s="265">
        <v>0</v>
      </c>
      <c r="J9" s="265">
        <v>0</v>
      </c>
      <c r="K9" s="265">
        <v>0</v>
      </c>
      <c r="L9" s="35">
        <f t="shared" si="0"/>
        <v>0</v>
      </c>
      <c r="M9" s="33">
        <f>($L$9*4.34812)-(($D$9*$F$9)*C22)</f>
        <v>0</v>
      </c>
      <c r="N9" s="33">
        <f t="shared" ref="N9:X9" si="7">($L$9*4.34812)-(($D$9*$F$9)*D22)</f>
        <v>0</v>
      </c>
      <c r="O9" s="33">
        <f t="shared" si="7"/>
        <v>0</v>
      </c>
      <c r="P9" s="33">
        <f t="shared" si="7"/>
        <v>0</v>
      </c>
      <c r="Q9" s="33">
        <f t="shared" si="7"/>
        <v>0</v>
      </c>
      <c r="R9" s="33">
        <f t="shared" si="7"/>
        <v>0</v>
      </c>
      <c r="S9" s="33">
        <f t="shared" si="7"/>
        <v>0</v>
      </c>
      <c r="T9" s="33">
        <f t="shared" si="7"/>
        <v>0</v>
      </c>
      <c r="U9" s="33">
        <f t="shared" si="7"/>
        <v>0</v>
      </c>
      <c r="V9" s="33">
        <f t="shared" si="7"/>
        <v>0</v>
      </c>
      <c r="W9" s="33">
        <f t="shared" si="7"/>
        <v>0</v>
      </c>
      <c r="X9" s="33">
        <f t="shared" si="7"/>
        <v>0</v>
      </c>
      <c r="Y9" s="36">
        <f t="shared" si="3"/>
        <v>0</v>
      </c>
    </row>
    <row r="10" spans="1:28" ht="15.75" x14ac:dyDescent="0.25">
      <c r="A10" s="260"/>
      <c r="B10" s="260"/>
      <c r="C10" s="266" t="s">
        <v>170</v>
      </c>
      <c r="D10" s="263">
        <v>0</v>
      </c>
      <c r="E10" s="267">
        <v>0</v>
      </c>
      <c r="F10" s="265">
        <v>0</v>
      </c>
      <c r="G10" s="265">
        <v>0</v>
      </c>
      <c r="H10" s="265">
        <v>0</v>
      </c>
      <c r="I10" s="265">
        <v>0</v>
      </c>
      <c r="J10" s="265">
        <v>0</v>
      </c>
      <c r="K10" s="265">
        <v>0</v>
      </c>
      <c r="L10" s="35">
        <f t="shared" si="0"/>
        <v>0</v>
      </c>
      <c r="M10" s="33">
        <f>($L$10*4.34812)-(($D$10*$F$10)*C23)</f>
        <v>0</v>
      </c>
      <c r="N10" s="33">
        <f t="shared" ref="N10:X10" si="8">($L$10*4.34812)-(($D$10*$F$10)*D23)</f>
        <v>0</v>
      </c>
      <c r="O10" s="33">
        <f t="shared" si="8"/>
        <v>0</v>
      </c>
      <c r="P10" s="33">
        <f t="shared" si="8"/>
        <v>0</v>
      </c>
      <c r="Q10" s="33">
        <f t="shared" si="8"/>
        <v>0</v>
      </c>
      <c r="R10" s="33">
        <f t="shared" si="8"/>
        <v>0</v>
      </c>
      <c r="S10" s="33">
        <f t="shared" si="8"/>
        <v>0</v>
      </c>
      <c r="T10" s="33">
        <f t="shared" si="8"/>
        <v>0</v>
      </c>
      <c r="U10" s="33">
        <f t="shared" si="8"/>
        <v>0</v>
      </c>
      <c r="V10" s="33">
        <f t="shared" si="8"/>
        <v>0</v>
      </c>
      <c r="W10" s="33">
        <f t="shared" si="8"/>
        <v>0</v>
      </c>
      <c r="X10" s="33">
        <f t="shared" si="8"/>
        <v>0</v>
      </c>
      <c r="Y10" s="36">
        <f t="shared" si="3"/>
        <v>0</v>
      </c>
    </row>
    <row r="11" spans="1:28" ht="15.75" x14ac:dyDescent="0.25">
      <c r="A11" s="260"/>
      <c r="B11" s="260"/>
      <c r="C11" s="266" t="s">
        <v>170</v>
      </c>
      <c r="D11" s="263">
        <v>0</v>
      </c>
      <c r="E11" s="267">
        <v>0</v>
      </c>
      <c r="F11" s="265">
        <v>0</v>
      </c>
      <c r="G11" s="265">
        <v>0</v>
      </c>
      <c r="H11" s="265">
        <v>0</v>
      </c>
      <c r="I11" s="265">
        <v>0</v>
      </c>
      <c r="J11" s="265">
        <v>0</v>
      </c>
      <c r="K11" s="265">
        <v>0</v>
      </c>
      <c r="L11" s="35">
        <f t="shared" si="0"/>
        <v>0</v>
      </c>
      <c r="M11" s="33">
        <f>($L$11*4.34812)-(($D$11*$F$11)*C24)</f>
        <v>0</v>
      </c>
      <c r="N11" s="33">
        <f t="shared" ref="N11:X11" si="9">($L$11*4.34812)-(($D$11*$F$11)*D24)</f>
        <v>0</v>
      </c>
      <c r="O11" s="33">
        <f t="shared" si="9"/>
        <v>0</v>
      </c>
      <c r="P11" s="33">
        <f t="shared" si="9"/>
        <v>0</v>
      </c>
      <c r="Q11" s="33">
        <f t="shared" si="9"/>
        <v>0</v>
      </c>
      <c r="R11" s="33">
        <f t="shared" si="9"/>
        <v>0</v>
      </c>
      <c r="S11" s="33">
        <f t="shared" si="9"/>
        <v>0</v>
      </c>
      <c r="T11" s="33">
        <f t="shared" si="9"/>
        <v>0</v>
      </c>
      <c r="U11" s="33">
        <f t="shared" si="9"/>
        <v>0</v>
      </c>
      <c r="V11" s="33">
        <f t="shared" si="9"/>
        <v>0</v>
      </c>
      <c r="W11" s="33">
        <f t="shared" si="9"/>
        <v>0</v>
      </c>
      <c r="X11" s="33">
        <f t="shared" si="9"/>
        <v>0</v>
      </c>
      <c r="Y11" s="36">
        <f t="shared" si="3"/>
        <v>0</v>
      </c>
    </row>
    <row r="12" spans="1:28" ht="15.75" x14ac:dyDescent="0.25">
      <c r="A12" s="260"/>
      <c r="B12" s="260"/>
      <c r="C12" s="266" t="s">
        <v>170</v>
      </c>
      <c r="D12" s="263">
        <v>0</v>
      </c>
      <c r="E12" s="267">
        <v>0</v>
      </c>
      <c r="F12" s="265">
        <v>0</v>
      </c>
      <c r="G12" s="265">
        <v>0</v>
      </c>
      <c r="H12" s="265">
        <v>0</v>
      </c>
      <c r="I12" s="265">
        <v>0</v>
      </c>
      <c r="J12" s="265">
        <v>0</v>
      </c>
      <c r="K12" s="265">
        <v>0</v>
      </c>
      <c r="L12" s="35">
        <f t="shared" si="0"/>
        <v>0</v>
      </c>
      <c r="M12" s="33">
        <f>($L$12*4.34812)-(($D$12*$F$12)*C25)</f>
        <v>0</v>
      </c>
      <c r="N12" s="33">
        <f t="shared" ref="N12:X12" si="10">($L$12*4.34812)-(($D$12*$F$12)*D25)</f>
        <v>0</v>
      </c>
      <c r="O12" s="33">
        <f t="shared" si="10"/>
        <v>0</v>
      </c>
      <c r="P12" s="33">
        <f t="shared" si="10"/>
        <v>0</v>
      </c>
      <c r="Q12" s="33">
        <f t="shared" si="10"/>
        <v>0</v>
      </c>
      <c r="R12" s="33">
        <f t="shared" si="10"/>
        <v>0</v>
      </c>
      <c r="S12" s="33">
        <f t="shared" si="10"/>
        <v>0</v>
      </c>
      <c r="T12" s="33">
        <f t="shared" si="10"/>
        <v>0</v>
      </c>
      <c r="U12" s="33">
        <f t="shared" si="10"/>
        <v>0</v>
      </c>
      <c r="V12" s="33">
        <f t="shared" si="10"/>
        <v>0</v>
      </c>
      <c r="W12" s="33">
        <f t="shared" si="10"/>
        <v>0</v>
      </c>
      <c r="X12" s="33">
        <f t="shared" si="10"/>
        <v>0</v>
      </c>
      <c r="Y12" s="36">
        <f t="shared" si="3"/>
        <v>0</v>
      </c>
    </row>
    <row r="13" spans="1:28" ht="15.75" x14ac:dyDescent="0.25">
      <c r="A13" s="268"/>
      <c r="B13" s="269"/>
      <c r="C13" s="270" t="s">
        <v>170</v>
      </c>
      <c r="D13" s="271">
        <v>0</v>
      </c>
      <c r="E13" s="272">
        <v>0</v>
      </c>
      <c r="F13" s="273">
        <v>0</v>
      </c>
      <c r="G13" s="273">
        <v>0</v>
      </c>
      <c r="H13" s="273">
        <v>0</v>
      </c>
      <c r="I13" s="273">
        <v>0</v>
      </c>
      <c r="J13" s="273">
        <v>0</v>
      </c>
      <c r="K13" s="273">
        <v>0</v>
      </c>
      <c r="L13" s="66">
        <f t="shared" si="0"/>
        <v>0</v>
      </c>
      <c r="M13" s="67">
        <f>($L$13*4.34812)-(($D$13*$F$13)*C26)</f>
        <v>0</v>
      </c>
      <c r="N13" s="67">
        <f t="shared" ref="N13:X13" si="11">($L$13*4.34812)-(($D$13*$F$13)*D26)</f>
        <v>0</v>
      </c>
      <c r="O13" s="67">
        <f t="shared" si="11"/>
        <v>0</v>
      </c>
      <c r="P13" s="67">
        <f t="shared" si="11"/>
        <v>0</v>
      </c>
      <c r="Q13" s="67">
        <f t="shared" si="11"/>
        <v>0</v>
      </c>
      <c r="R13" s="67">
        <f t="shared" si="11"/>
        <v>0</v>
      </c>
      <c r="S13" s="67">
        <f t="shared" si="11"/>
        <v>0</v>
      </c>
      <c r="T13" s="67">
        <f t="shared" si="11"/>
        <v>0</v>
      </c>
      <c r="U13" s="67">
        <f t="shared" si="11"/>
        <v>0</v>
      </c>
      <c r="V13" s="67">
        <f t="shared" si="11"/>
        <v>0</v>
      </c>
      <c r="W13" s="67">
        <f t="shared" si="11"/>
        <v>0</v>
      </c>
      <c r="X13" s="67">
        <f t="shared" si="11"/>
        <v>0</v>
      </c>
      <c r="Y13" s="68">
        <f t="shared" si="3"/>
        <v>0</v>
      </c>
    </row>
    <row r="14" spans="1:28" ht="15.75" x14ac:dyDescent="0.25">
      <c r="B14" s="32"/>
      <c r="C14" s="32"/>
      <c r="D14" s="35"/>
      <c r="E14" s="32"/>
      <c r="F14" s="32"/>
      <c r="G14" s="32"/>
      <c r="H14" s="32"/>
      <c r="I14" s="32"/>
      <c r="J14" s="32"/>
      <c r="K14" s="32"/>
      <c r="L14" s="35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5"/>
    </row>
    <row r="15" spans="1:28" x14ac:dyDescent="0.25"/>
    <row r="16" spans="1:28" x14ac:dyDescent="0.25">
      <c r="A16" s="71" t="s">
        <v>147</v>
      </c>
      <c r="B16" s="37" t="s">
        <v>174</v>
      </c>
      <c r="C16" s="34" t="s">
        <v>30</v>
      </c>
      <c r="D16" s="34" t="s">
        <v>31</v>
      </c>
      <c r="E16" s="34" t="s">
        <v>35</v>
      </c>
      <c r="F16" s="34" t="s">
        <v>36</v>
      </c>
      <c r="G16" s="34" t="s">
        <v>24</v>
      </c>
      <c r="H16" s="34" t="s">
        <v>37</v>
      </c>
      <c r="I16" s="34" t="s">
        <v>25</v>
      </c>
      <c r="J16" s="34" t="s">
        <v>26</v>
      </c>
      <c r="K16" s="34" t="s">
        <v>38</v>
      </c>
      <c r="L16" s="34" t="s">
        <v>27</v>
      </c>
      <c r="M16" s="34" t="s">
        <v>28</v>
      </c>
      <c r="N16" s="34" t="s">
        <v>29</v>
      </c>
      <c r="O16" s="34" t="s">
        <v>32</v>
      </c>
      <c r="P16" s="34" t="s">
        <v>33</v>
      </c>
      <c r="Q16" s="37" t="s">
        <v>34</v>
      </c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9"/>
    </row>
    <row r="17" spans="1:28" ht="15.75" x14ac:dyDescent="0.25">
      <c r="A17" s="62" t="str">
        <f>A4</f>
        <v>Singh</v>
      </c>
      <c r="B17" s="70" t="str">
        <f>B4</f>
        <v>Kam</v>
      </c>
      <c r="C17" s="259">
        <v>0</v>
      </c>
      <c r="D17" s="259">
        <v>0</v>
      </c>
      <c r="E17" s="259">
        <v>0</v>
      </c>
      <c r="F17" s="259">
        <v>0</v>
      </c>
      <c r="G17" s="259">
        <v>0</v>
      </c>
      <c r="H17" s="259">
        <v>0</v>
      </c>
      <c r="I17" s="259">
        <v>0</v>
      </c>
      <c r="J17" s="259">
        <v>0</v>
      </c>
      <c r="K17" s="259">
        <v>0</v>
      </c>
      <c r="L17" s="259">
        <v>0</v>
      </c>
      <c r="M17" s="259">
        <v>0</v>
      </c>
      <c r="N17" s="259">
        <v>0</v>
      </c>
      <c r="O17" s="34">
        <v>25</v>
      </c>
      <c r="P17" s="34">
        <f>SUM(C17:N17)</f>
        <v>0</v>
      </c>
      <c r="Q17" s="34">
        <f>O17-P17</f>
        <v>25</v>
      </c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 ht="15.75" x14ac:dyDescent="0.25">
      <c r="A18" s="62" t="str">
        <f t="shared" ref="A18:A26" si="12">A5</f>
        <v>Saleem</v>
      </c>
      <c r="B18" s="40" t="str">
        <f t="shared" ref="B18:B26" si="13">B5</f>
        <v>Nada</v>
      </c>
      <c r="C18" s="259">
        <v>0</v>
      </c>
      <c r="D18" s="259">
        <v>0</v>
      </c>
      <c r="E18" s="259">
        <v>0</v>
      </c>
      <c r="F18" s="259">
        <v>0</v>
      </c>
      <c r="G18" s="259">
        <v>0</v>
      </c>
      <c r="H18" s="259">
        <v>0</v>
      </c>
      <c r="I18" s="259">
        <v>0</v>
      </c>
      <c r="J18" s="259">
        <v>0</v>
      </c>
      <c r="K18" s="259">
        <v>0</v>
      </c>
      <c r="L18" s="259">
        <v>0</v>
      </c>
      <c r="M18" s="259">
        <v>0</v>
      </c>
      <c r="N18" s="259">
        <v>0</v>
      </c>
      <c r="O18" s="34">
        <v>25</v>
      </c>
      <c r="P18" s="34">
        <f t="shared" ref="P18:P25" si="14">SUM(C18:N18)</f>
        <v>0</v>
      </c>
      <c r="Q18" s="34">
        <f t="shared" ref="Q18:Q26" si="15">O18-P18</f>
        <v>25</v>
      </c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 ht="15.75" x14ac:dyDescent="0.25">
      <c r="A19" s="62" t="str">
        <f t="shared" si="12"/>
        <v>Halls</v>
      </c>
      <c r="B19" s="40" t="str">
        <f t="shared" si="13"/>
        <v>Mark</v>
      </c>
      <c r="C19" s="259">
        <v>0</v>
      </c>
      <c r="D19" s="259">
        <v>0</v>
      </c>
      <c r="E19" s="259">
        <v>0</v>
      </c>
      <c r="F19" s="259">
        <v>0</v>
      </c>
      <c r="G19" s="259">
        <v>0</v>
      </c>
      <c r="H19" s="259">
        <v>0</v>
      </c>
      <c r="I19" s="259">
        <v>0</v>
      </c>
      <c r="J19" s="259">
        <v>0</v>
      </c>
      <c r="K19" s="259">
        <v>0</v>
      </c>
      <c r="L19" s="259">
        <v>0</v>
      </c>
      <c r="M19" s="259">
        <v>0</v>
      </c>
      <c r="N19" s="259">
        <v>0</v>
      </c>
      <c r="O19" s="34">
        <v>25</v>
      </c>
      <c r="P19" s="34">
        <f t="shared" si="14"/>
        <v>0</v>
      </c>
      <c r="Q19" s="34">
        <f t="shared" si="15"/>
        <v>25</v>
      </c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 ht="15.75" x14ac:dyDescent="0.25">
      <c r="A20" s="62">
        <f t="shared" si="12"/>
        <v>0</v>
      </c>
      <c r="B20" s="40">
        <f t="shared" si="13"/>
        <v>0</v>
      </c>
      <c r="C20" s="259">
        <v>0</v>
      </c>
      <c r="D20" s="259">
        <v>0</v>
      </c>
      <c r="E20" s="259">
        <v>0</v>
      </c>
      <c r="F20" s="259">
        <v>0</v>
      </c>
      <c r="G20" s="259">
        <v>0</v>
      </c>
      <c r="H20" s="259">
        <v>0</v>
      </c>
      <c r="I20" s="259">
        <v>0</v>
      </c>
      <c r="J20" s="259">
        <v>0</v>
      </c>
      <c r="K20" s="259">
        <v>0</v>
      </c>
      <c r="L20" s="259">
        <v>0</v>
      </c>
      <c r="M20" s="259">
        <v>0</v>
      </c>
      <c r="N20" s="259">
        <v>0</v>
      </c>
      <c r="O20" s="34">
        <v>25</v>
      </c>
      <c r="P20" s="34">
        <f t="shared" si="14"/>
        <v>0</v>
      </c>
      <c r="Q20" s="34">
        <f t="shared" si="15"/>
        <v>25</v>
      </c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 ht="15.75" x14ac:dyDescent="0.25">
      <c r="A21" s="62">
        <f t="shared" si="12"/>
        <v>0</v>
      </c>
      <c r="B21" s="40">
        <f t="shared" si="13"/>
        <v>0</v>
      </c>
      <c r="C21" s="259">
        <v>0</v>
      </c>
      <c r="D21" s="259">
        <v>0</v>
      </c>
      <c r="E21" s="259">
        <v>0</v>
      </c>
      <c r="F21" s="259">
        <v>0</v>
      </c>
      <c r="G21" s="259">
        <v>0</v>
      </c>
      <c r="H21" s="259">
        <v>0</v>
      </c>
      <c r="I21" s="259">
        <v>0</v>
      </c>
      <c r="J21" s="259">
        <v>0</v>
      </c>
      <c r="K21" s="259">
        <v>0</v>
      </c>
      <c r="L21" s="259">
        <v>0</v>
      </c>
      <c r="M21" s="259">
        <v>0</v>
      </c>
      <c r="N21" s="259">
        <v>0</v>
      </c>
      <c r="O21" s="34">
        <v>25</v>
      </c>
      <c r="P21" s="34">
        <f t="shared" si="14"/>
        <v>0</v>
      </c>
      <c r="Q21" s="34">
        <f t="shared" si="15"/>
        <v>25</v>
      </c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1:28" ht="15.75" x14ac:dyDescent="0.25">
      <c r="A22" s="62">
        <f t="shared" si="12"/>
        <v>0</v>
      </c>
      <c r="B22" s="40">
        <f t="shared" si="13"/>
        <v>0</v>
      </c>
      <c r="C22" s="259">
        <v>0</v>
      </c>
      <c r="D22" s="259">
        <v>0</v>
      </c>
      <c r="E22" s="259">
        <v>0</v>
      </c>
      <c r="F22" s="259">
        <v>0</v>
      </c>
      <c r="G22" s="259">
        <v>0</v>
      </c>
      <c r="H22" s="259">
        <v>0</v>
      </c>
      <c r="I22" s="259">
        <v>0</v>
      </c>
      <c r="J22" s="259">
        <v>0</v>
      </c>
      <c r="K22" s="259">
        <v>0</v>
      </c>
      <c r="L22" s="259">
        <v>0</v>
      </c>
      <c r="M22" s="259">
        <v>0</v>
      </c>
      <c r="N22" s="259">
        <v>0</v>
      </c>
      <c r="O22" s="34">
        <v>25</v>
      </c>
      <c r="P22" s="34">
        <f t="shared" si="14"/>
        <v>0</v>
      </c>
      <c r="Q22" s="34">
        <f t="shared" si="15"/>
        <v>25</v>
      </c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</row>
    <row r="23" spans="1:28" ht="15.75" x14ac:dyDescent="0.25">
      <c r="A23" s="62">
        <f t="shared" si="12"/>
        <v>0</v>
      </c>
      <c r="B23" s="40">
        <f t="shared" si="13"/>
        <v>0</v>
      </c>
      <c r="C23" s="259">
        <v>0</v>
      </c>
      <c r="D23" s="259">
        <v>0</v>
      </c>
      <c r="E23" s="259">
        <v>0</v>
      </c>
      <c r="F23" s="259">
        <v>0</v>
      </c>
      <c r="G23" s="259">
        <v>0</v>
      </c>
      <c r="H23" s="259">
        <v>0</v>
      </c>
      <c r="I23" s="259">
        <v>0</v>
      </c>
      <c r="J23" s="259">
        <v>0</v>
      </c>
      <c r="K23" s="259">
        <v>0</v>
      </c>
      <c r="L23" s="259">
        <v>0</v>
      </c>
      <c r="M23" s="259">
        <v>0</v>
      </c>
      <c r="N23" s="259">
        <v>0</v>
      </c>
      <c r="O23" s="34">
        <v>25</v>
      </c>
      <c r="P23" s="34">
        <f t="shared" si="14"/>
        <v>0</v>
      </c>
      <c r="Q23" s="34">
        <f t="shared" si="15"/>
        <v>25</v>
      </c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</row>
    <row r="24" spans="1:28" ht="15.75" x14ac:dyDescent="0.25">
      <c r="A24" s="62">
        <f t="shared" si="12"/>
        <v>0</v>
      </c>
      <c r="B24" s="40">
        <f t="shared" si="13"/>
        <v>0</v>
      </c>
      <c r="C24" s="259">
        <v>0</v>
      </c>
      <c r="D24" s="259">
        <v>0</v>
      </c>
      <c r="E24" s="259">
        <v>0</v>
      </c>
      <c r="F24" s="259">
        <v>0</v>
      </c>
      <c r="G24" s="259">
        <v>0</v>
      </c>
      <c r="H24" s="259">
        <v>0</v>
      </c>
      <c r="I24" s="259">
        <v>0</v>
      </c>
      <c r="J24" s="259">
        <v>0</v>
      </c>
      <c r="K24" s="259">
        <v>0</v>
      </c>
      <c r="L24" s="259">
        <v>0</v>
      </c>
      <c r="M24" s="259">
        <v>0</v>
      </c>
      <c r="N24" s="259">
        <v>0</v>
      </c>
      <c r="O24" s="34">
        <v>25</v>
      </c>
      <c r="P24" s="34">
        <f t="shared" si="14"/>
        <v>0</v>
      </c>
      <c r="Q24" s="34">
        <f t="shared" si="15"/>
        <v>25</v>
      </c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</row>
    <row r="25" spans="1:28" ht="15.75" x14ac:dyDescent="0.25">
      <c r="A25" s="62">
        <f t="shared" si="12"/>
        <v>0</v>
      </c>
      <c r="B25" s="40">
        <f t="shared" si="13"/>
        <v>0</v>
      </c>
      <c r="C25" s="259">
        <v>0</v>
      </c>
      <c r="D25" s="259">
        <v>0</v>
      </c>
      <c r="E25" s="259">
        <v>0</v>
      </c>
      <c r="F25" s="259">
        <v>0</v>
      </c>
      <c r="G25" s="259">
        <v>0</v>
      </c>
      <c r="H25" s="259">
        <v>0</v>
      </c>
      <c r="I25" s="259">
        <v>0</v>
      </c>
      <c r="J25" s="259">
        <v>0</v>
      </c>
      <c r="K25" s="259">
        <v>0</v>
      </c>
      <c r="L25" s="259">
        <v>0</v>
      </c>
      <c r="M25" s="259">
        <v>0</v>
      </c>
      <c r="N25" s="259">
        <v>0</v>
      </c>
      <c r="O25" s="34">
        <v>25</v>
      </c>
      <c r="P25" s="34">
        <f t="shared" si="14"/>
        <v>0</v>
      </c>
      <c r="Q25" s="34">
        <f t="shared" si="15"/>
        <v>25</v>
      </c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</row>
    <row r="26" spans="1:28" ht="15.75" x14ac:dyDescent="0.25">
      <c r="A26" s="62">
        <f t="shared" si="12"/>
        <v>0</v>
      </c>
      <c r="B26" s="40">
        <f t="shared" si="13"/>
        <v>0</v>
      </c>
      <c r="C26" s="259">
        <v>0</v>
      </c>
      <c r="D26" s="259">
        <v>0</v>
      </c>
      <c r="E26" s="259">
        <v>0</v>
      </c>
      <c r="F26" s="259">
        <v>0</v>
      </c>
      <c r="G26" s="259">
        <v>0</v>
      </c>
      <c r="H26" s="259">
        <v>0</v>
      </c>
      <c r="I26" s="259">
        <v>0</v>
      </c>
      <c r="J26" s="259">
        <v>0</v>
      </c>
      <c r="K26" s="259">
        <v>0</v>
      </c>
      <c r="L26" s="259">
        <v>0</v>
      </c>
      <c r="M26" s="259">
        <v>0</v>
      </c>
      <c r="N26" s="259">
        <v>0</v>
      </c>
      <c r="O26" s="34">
        <v>25</v>
      </c>
      <c r="P26" s="34">
        <f>SUM(C26:N26)</f>
        <v>0</v>
      </c>
      <c r="Q26" s="34">
        <f t="shared" si="15"/>
        <v>25</v>
      </c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</row>
    <row r="27" spans="1:28" x14ac:dyDescent="0.25">
      <c r="U27" s="1"/>
      <c r="V27" s="1"/>
      <c r="W27" s="1"/>
      <c r="X27" s="1"/>
      <c r="Y27" s="1"/>
      <c r="Z27" s="1"/>
      <c r="AA27" s="1"/>
    </row>
  </sheetData>
  <sheetProtection password="CB7F" sheet="1" objects="1" scenarios="1"/>
  <mergeCells count="2">
    <mergeCell ref="E2:K2"/>
    <mergeCell ref="L2:Y2"/>
  </mergeCells>
  <dataValidations count="1">
    <dataValidation type="whole" allowBlank="1" showInputMessage="1" showErrorMessage="1" sqref="C17:Q26">
      <formula1>0</formula1>
      <formula2>25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Sheet5!$I$2:$I$5</xm:f>
          </x14:formula1>
          <xm:sqref>C4:C13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O34"/>
  <sheetViews>
    <sheetView showGridLines="0" zoomScaleNormal="100" workbookViewId="0">
      <selection activeCell="Q26" sqref="Q26"/>
    </sheetView>
  </sheetViews>
  <sheetFormatPr defaultColWidth="0" defaultRowHeight="15" zeroHeight="1" x14ac:dyDescent="0.25"/>
  <cols>
    <col min="1" max="1" width="16.5703125" style="95" bestFit="1" customWidth="1"/>
    <col min="2" max="20" width="9.140625" style="95" customWidth="1"/>
    <col min="21" max="16384" width="9.140625" style="95" hidden="1"/>
  </cols>
  <sheetData>
    <row r="1" spans="1:15" x14ac:dyDescent="0.25"/>
    <row r="2" spans="1:15" x14ac:dyDescent="0.25"/>
    <row r="3" spans="1:15" x14ac:dyDescent="0.25"/>
    <row r="4" spans="1:15" ht="15.75" x14ac:dyDescent="0.25">
      <c r="A4" s="274" t="s">
        <v>60</v>
      </c>
    </row>
    <row r="5" spans="1:15" x14ac:dyDescent="0.25"/>
    <row r="6" spans="1:15" x14ac:dyDescent="0.25">
      <c r="A6" s="275" t="s">
        <v>48</v>
      </c>
      <c r="B6" s="279" t="s">
        <v>62</v>
      </c>
      <c r="C6" s="280" t="s">
        <v>30</v>
      </c>
      <c r="D6" s="281" t="s">
        <v>63</v>
      </c>
      <c r="E6" s="280" t="s">
        <v>31</v>
      </c>
      <c r="F6" s="281" t="s">
        <v>63</v>
      </c>
      <c r="G6" s="280" t="s">
        <v>35</v>
      </c>
      <c r="H6" s="281" t="s">
        <v>63</v>
      </c>
      <c r="I6" s="280" t="s">
        <v>49</v>
      </c>
      <c r="J6" s="281" t="s">
        <v>63</v>
      </c>
      <c r="K6" s="280" t="s">
        <v>24</v>
      </c>
      <c r="L6" s="281" t="s">
        <v>63</v>
      </c>
      <c r="M6" s="280" t="s">
        <v>50</v>
      </c>
      <c r="N6" s="281" t="s">
        <v>63</v>
      </c>
      <c r="O6" s="282" t="s">
        <v>61</v>
      </c>
    </row>
    <row r="7" spans="1:15" x14ac:dyDescent="0.25">
      <c r="A7" s="276" t="s">
        <v>52</v>
      </c>
      <c r="B7" s="283">
        <v>70</v>
      </c>
      <c r="C7" s="283">
        <v>70</v>
      </c>
      <c r="D7" s="284">
        <f>SUM(C7-B7)</f>
        <v>0</v>
      </c>
      <c r="E7" s="283">
        <v>70</v>
      </c>
      <c r="F7" s="285">
        <f>SUM(E7-C7)</f>
        <v>0</v>
      </c>
      <c r="G7" s="283">
        <v>70</v>
      </c>
      <c r="H7" s="284">
        <f>SUM(G7-E7)</f>
        <v>0</v>
      </c>
      <c r="I7" s="283">
        <v>40</v>
      </c>
      <c r="J7" s="284">
        <f>SUM(I7-G7)</f>
        <v>-30</v>
      </c>
      <c r="K7" s="283">
        <v>70</v>
      </c>
      <c r="L7" s="284">
        <f>SUM(K7-I7)</f>
        <v>30</v>
      </c>
      <c r="M7" s="283">
        <v>70</v>
      </c>
      <c r="N7" s="284">
        <f>SUM(M7-K7)</f>
        <v>0</v>
      </c>
      <c r="O7" s="286">
        <f>(B7-M7)</f>
        <v>0</v>
      </c>
    </row>
    <row r="8" spans="1:15" x14ac:dyDescent="0.25">
      <c r="A8" s="276" t="s">
        <v>53</v>
      </c>
      <c r="B8" s="283">
        <v>70</v>
      </c>
      <c r="C8" s="283">
        <v>70</v>
      </c>
      <c r="D8" s="284">
        <f t="shared" ref="D8:D18" si="0">SUM(C8-B8)</f>
        <v>0</v>
      </c>
      <c r="E8" s="283">
        <v>70</v>
      </c>
      <c r="F8" s="285">
        <f t="shared" ref="F8:F18" si="1">SUM(E8-C8)</f>
        <v>0</v>
      </c>
      <c r="G8" s="283">
        <v>70</v>
      </c>
      <c r="H8" s="284">
        <f t="shared" ref="H8:H18" si="2">SUM(G8-E8)</f>
        <v>0</v>
      </c>
      <c r="I8" s="283">
        <v>70</v>
      </c>
      <c r="J8" s="284">
        <f t="shared" ref="J8:J18" si="3">SUM(I8-G8)</f>
        <v>0</v>
      </c>
      <c r="K8" s="283">
        <v>70</v>
      </c>
      <c r="L8" s="284">
        <f t="shared" ref="L8:L18" si="4">SUM(K8-I8)</f>
        <v>0</v>
      </c>
      <c r="M8" s="283">
        <v>70</v>
      </c>
      <c r="N8" s="284">
        <f t="shared" ref="N8:N18" si="5">SUM(M8-K8)</f>
        <v>0</v>
      </c>
      <c r="O8" s="286">
        <f t="shared" ref="O8:O31" si="6">(B8-M8)</f>
        <v>0</v>
      </c>
    </row>
    <row r="9" spans="1:15" x14ac:dyDescent="0.25">
      <c r="A9" s="276" t="s">
        <v>54</v>
      </c>
      <c r="B9" s="283">
        <v>70</v>
      </c>
      <c r="C9" s="283">
        <v>70</v>
      </c>
      <c r="D9" s="284">
        <f t="shared" si="0"/>
        <v>0</v>
      </c>
      <c r="E9" s="283">
        <v>70</v>
      </c>
      <c r="F9" s="285">
        <f t="shared" si="1"/>
        <v>0</v>
      </c>
      <c r="G9" s="283">
        <v>70</v>
      </c>
      <c r="H9" s="284">
        <f t="shared" si="2"/>
        <v>0</v>
      </c>
      <c r="I9" s="283">
        <v>70</v>
      </c>
      <c r="J9" s="284">
        <f t="shared" si="3"/>
        <v>0</v>
      </c>
      <c r="K9" s="283">
        <v>70</v>
      </c>
      <c r="L9" s="284">
        <f t="shared" si="4"/>
        <v>0</v>
      </c>
      <c r="M9" s="283">
        <v>70</v>
      </c>
      <c r="N9" s="284">
        <f t="shared" si="5"/>
        <v>0</v>
      </c>
      <c r="O9" s="286">
        <f t="shared" si="6"/>
        <v>0</v>
      </c>
    </row>
    <row r="10" spans="1:15" x14ac:dyDescent="0.25">
      <c r="A10" s="276" t="s">
        <v>55</v>
      </c>
      <c r="B10" s="283">
        <v>70</v>
      </c>
      <c r="C10" s="283">
        <v>70</v>
      </c>
      <c r="D10" s="284">
        <f t="shared" si="0"/>
        <v>0</v>
      </c>
      <c r="E10" s="283">
        <v>70</v>
      </c>
      <c r="F10" s="285">
        <f t="shared" si="1"/>
        <v>0</v>
      </c>
      <c r="G10" s="283">
        <v>70</v>
      </c>
      <c r="H10" s="284">
        <f t="shared" si="2"/>
        <v>0</v>
      </c>
      <c r="I10" s="283">
        <v>70</v>
      </c>
      <c r="J10" s="284">
        <f t="shared" si="3"/>
        <v>0</v>
      </c>
      <c r="K10" s="283">
        <v>70</v>
      </c>
      <c r="L10" s="284">
        <f t="shared" si="4"/>
        <v>0</v>
      </c>
      <c r="M10" s="283">
        <v>70</v>
      </c>
      <c r="N10" s="284">
        <f t="shared" si="5"/>
        <v>0</v>
      </c>
      <c r="O10" s="286">
        <f t="shared" si="6"/>
        <v>0</v>
      </c>
    </row>
    <row r="11" spans="1:15" x14ac:dyDescent="0.25">
      <c r="A11" s="276" t="s">
        <v>56</v>
      </c>
      <c r="B11" s="283">
        <v>70</v>
      </c>
      <c r="C11" s="283">
        <v>70</v>
      </c>
      <c r="D11" s="284">
        <f t="shared" si="0"/>
        <v>0</v>
      </c>
      <c r="E11" s="283">
        <v>70</v>
      </c>
      <c r="F11" s="285">
        <f t="shared" si="1"/>
        <v>0</v>
      </c>
      <c r="G11" s="283">
        <v>70</v>
      </c>
      <c r="H11" s="284">
        <f t="shared" si="2"/>
        <v>0</v>
      </c>
      <c r="I11" s="283">
        <v>70</v>
      </c>
      <c r="J11" s="284">
        <f t="shared" si="3"/>
        <v>0</v>
      </c>
      <c r="K11" s="283">
        <v>70</v>
      </c>
      <c r="L11" s="284">
        <f t="shared" si="4"/>
        <v>0</v>
      </c>
      <c r="M11" s="283">
        <v>70</v>
      </c>
      <c r="N11" s="284">
        <f t="shared" si="5"/>
        <v>0</v>
      </c>
      <c r="O11" s="286">
        <f t="shared" si="6"/>
        <v>0</v>
      </c>
    </row>
    <row r="12" spans="1:15" x14ac:dyDescent="0.25">
      <c r="A12" s="276" t="s">
        <v>57</v>
      </c>
      <c r="B12" s="283">
        <v>70</v>
      </c>
      <c r="C12" s="283">
        <v>70</v>
      </c>
      <c r="D12" s="284">
        <f t="shared" si="0"/>
        <v>0</v>
      </c>
      <c r="E12" s="283">
        <v>70</v>
      </c>
      <c r="F12" s="285">
        <f t="shared" si="1"/>
        <v>0</v>
      </c>
      <c r="G12" s="283">
        <v>70</v>
      </c>
      <c r="H12" s="284">
        <f t="shared" si="2"/>
        <v>0</v>
      </c>
      <c r="I12" s="283">
        <v>70</v>
      </c>
      <c r="J12" s="284">
        <f t="shared" si="3"/>
        <v>0</v>
      </c>
      <c r="K12" s="283">
        <v>70</v>
      </c>
      <c r="L12" s="284">
        <f t="shared" si="4"/>
        <v>0</v>
      </c>
      <c r="M12" s="283">
        <v>70</v>
      </c>
      <c r="N12" s="284">
        <f t="shared" si="5"/>
        <v>0</v>
      </c>
      <c r="O12" s="286">
        <f t="shared" si="6"/>
        <v>0</v>
      </c>
    </row>
    <row r="13" spans="1:15" x14ac:dyDescent="0.25">
      <c r="A13" s="276" t="s">
        <v>58</v>
      </c>
      <c r="B13" s="283">
        <v>70</v>
      </c>
      <c r="C13" s="283">
        <v>70</v>
      </c>
      <c r="D13" s="284">
        <f t="shared" si="0"/>
        <v>0</v>
      </c>
      <c r="E13" s="283">
        <v>70</v>
      </c>
      <c r="F13" s="285">
        <f t="shared" si="1"/>
        <v>0</v>
      </c>
      <c r="G13" s="283">
        <v>70</v>
      </c>
      <c r="H13" s="284">
        <f t="shared" si="2"/>
        <v>0</v>
      </c>
      <c r="I13" s="283">
        <v>70</v>
      </c>
      <c r="J13" s="284">
        <f t="shared" si="3"/>
        <v>0</v>
      </c>
      <c r="K13" s="283">
        <v>70</v>
      </c>
      <c r="L13" s="284">
        <f t="shared" si="4"/>
        <v>0</v>
      </c>
      <c r="M13" s="283">
        <v>70</v>
      </c>
      <c r="N13" s="284">
        <f t="shared" si="5"/>
        <v>0</v>
      </c>
      <c r="O13" s="286">
        <f t="shared" si="6"/>
        <v>0</v>
      </c>
    </row>
    <row r="14" spans="1:15" x14ac:dyDescent="0.25">
      <c r="A14" s="276" t="s">
        <v>59</v>
      </c>
      <c r="B14" s="283">
        <v>70</v>
      </c>
      <c r="C14" s="283">
        <v>70</v>
      </c>
      <c r="D14" s="284">
        <f t="shared" si="0"/>
        <v>0</v>
      </c>
      <c r="E14" s="283">
        <v>70</v>
      </c>
      <c r="F14" s="285">
        <f t="shared" si="1"/>
        <v>0</v>
      </c>
      <c r="G14" s="283">
        <v>70</v>
      </c>
      <c r="H14" s="284">
        <f t="shared" si="2"/>
        <v>0</v>
      </c>
      <c r="I14" s="283">
        <v>70</v>
      </c>
      <c r="J14" s="284">
        <f t="shared" si="3"/>
        <v>0</v>
      </c>
      <c r="K14" s="283">
        <v>70</v>
      </c>
      <c r="L14" s="284">
        <f t="shared" si="4"/>
        <v>0</v>
      </c>
      <c r="M14" s="283">
        <v>70</v>
      </c>
      <c r="N14" s="284">
        <f t="shared" si="5"/>
        <v>0</v>
      </c>
      <c r="O14" s="286">
        <f t="shared" si="6"/>
        <v>0</v>
      </c>
    </row>
    <row r="15" spans="1:15" x14ac:dyDescent="0.25">
      <c r="A15" s="276"/>
      <c r="B15" s="283"/>
      <c r="C15" s="283"/>
      <c r="D15" s="284">
        <f t="shared" si="0"/>
        <v>0</v>
      </c>
      <c r="E15" s="283"/>
      <c r="F15" s="285">
        <f t="shared" si="1"/>
        <v>0</v>
      </c>
      <c r="G15" s="283"/>
      <c r="H15" s="284">
        <f t="shared" si="2"/>
        <v>0</v>
      </c>
      <c r="I15" s="283"/>
      <c r="J15" s="284">
        <f t="shared" si="3"/>
        <v>0</v>
      </c>
      <c r="K15" s="283"/>
      <c r="L15" s="284">
        <f t="shared" si="4"/>
        <v>0</v>
      </c>
      <c r="M15" s="283"/>
      <c r="N15" s="284">
        <f t="shared" si="5"/>
        <v>0</v>
      </c>
      <c r="O15" s="286">
        <f t="shared" si="6"/>
        <v>0</v>
      </c>
    </row>
    <row r="16" spans="1:15" x14ac:dyDescent="0.25">
      <c r="A16" s="276"/>
      <c r="B16" s="283"/>
      <c r="C16" s="283"/>
      <c r="D16" s="284">
        <f t="shared" si="0"/>
        <v>0</v>
      </c>
      <c r="E16" s="283"/>
      <c r="F16" s="285">
        <f t="shared" si="1"/>
        <v>0</v>
      </c>
      <c r="G16" s="283"/>
      <c r="H16" s="284">
        <f t="shared" si="2"/>
        <v>0</v>
      </c>
      <c r="I16" s="283"/>
      <c r="J16" s="284">
        <f t="shared" si="3"/>
        <v>0</v>
      </c>
      <c r="K16" s="283"/>
      <c r="L16" s="284">
        <f t="shared" si="4"/>
        <v>0</v>
      </c>
      <c r="M16" s="283"/>
      <c r="N16" s="284">
        <f t="shared" si="5"/>
        <v>0</v>
      </c>
      <c r="O16" s="286">
        <f t="shared" si="6"/>
        <v>0</v>
      </c>
    </row>
    <row r="17" spans="1:15" x14ac:dyDescent="0.25">
      <c r="A17" s="276"/>
      <c r="B17" s="283"/>
      <c r="C17" s="283"/>
      <c r="D17" s="284">
        <f t="shared" si="0"/>
        <v>0</v>
      </c>
      <c r="E17" s="283"/>
      <c r="F17" s="285">
        <f t="shared" si="1"/>
        <v>0</v>
      </c>
      <c r="G17" s="283"/>
      <c r="H17" s="284">
        <f t="shared" si="2"/>
        <v>0</v>
      </c>
      <c r="I17" s="283"/>
      <c r="J17" s="284">
        <f t="shared" si="3"/>
        <v>0</v>
      </c>
      <c r="K17" s="283"/>
      <c r="L17" s="284">
        <f t="shared" si="4"/>
        <v>0</v>
      </c>
      <c r="M17" s="283"/>
      <c r="N17" s="284">
        <f t="shared" si="5"/>
        <v>0</v>
      </c>
      <c r="O17" s="286">
        <f t="shared" si="6"/>
        <v>0</v>
      </c>
    </row>
    <row r="18" spans="1:15" x14ac:dyDescent="0.25">
      <c r="A18" s="276"/>
      <c r="B18" s="283"/>
      <c r="C18" s="283"/>
      <c r="D18" s="284">
        <f t="shared" si="0"/>
        <v>0</v>
      </c>
      <c r="E18" s="283"/>
      <c r="F18" s="285">
        <f t="shared" si="1"/>
        <v>0</v>
      </c>
      <c r="G18" s="283"/>
      <c r="H18" s="284">
        <f t="shared" si="2"/>
        <v>0</v>
      </c>
      <c r="I18" s="283"/>
      <c r="J18" s="284">
        <f t="shared" si="3"/>
        <v>0</v>
      </c>
      <c r="K18" s="283"/>
      <c r="L18" s="284">
        <f t="shared" si="4"/>
        <v>0</v>
      </c>
      <c r="M18" s="283"/>
      <c r="N18" s="284">
        <f t="shared" si="5"/>
        <v>0</v>
      </c>
      <c r="O18" s="286">
        <f t="shared" si="6"/>
        <v>0</v>
      </c>
    </row>
    <row r="19" spans="1:15" x14ac:dyDescent="0.25">
      <c r="A19" s="276" t="s">
        <v>48</v>
      </c>
      <c r="B19" s="287" t="s">
        <v>63</v>
      </c>
      <c r="C19" s="283" t="s">
        <v>25</v>
      </c>
      <c r="D19" s="287" t="s">
        <v>63</v>
      </c>
      <c r="E19" s="283" t="s">
        <v>26</v>
      </c>
      <c r="F19" s="287" t="s">
        <v>63</v>
      </c>
      <c r="G19" s="283" t="s">
        <v>51</v>
      </c>
      <c r="H19" s="287" t="s">
        <v>63</v>
      </c>
      <c r="I19" s="283" t="s">
        <v>27</v>
      </c>
      <c r="J19" s="287" t="s">
        <v>63</v>
      </c>
      <c r="K19" s="283" t="s">
        <v>28</v>
      </c>
      <c r="L19" s="287" t="s">
        <v>63</v>
      </c>
      <c r="M19" s="283" t="s">
        <v>29</v>
      </c>
      <c r="N19" s="287" t="s">
        <v>63</v>
      </c>
      <c r="O19" s="286"/>
    </row>
    <row r="20" spans="1:15" x14ac:dyDescent="0.25">
      <c r="A20" s="276" t="s">
        <v>52</v>
      </c>
      <c r="B20" s="283">
        <v>0</v>
      </c>
      <c r="C20" s="283">
        <v>70</v>
      </c>
      <c r="D20" s="284">
        <f t="shared" ref="D20:D31" si="7">SUM(C20-B20)</f>
        <v>70</v>
      </c>
      <c r="E20" s="283">
        <v>70</v>
      </c>
      <c r="F20" s="284">
        <f t="shared" ref="F20:F31" si="8">SUM(E20-C20)</f>
        <v>0</v>
      </c>
      <c r="G20" s="283">
        <v>70</v>
      </c>
      <c r="H20" s="284">
        <f t="shared" ref="H20:H31" si="9">SUM(G20-E20)</f>
        <v>0</v>
      </c>
      <c r="I20" s="283">
        <v>70</v>
      </c>
      <c r="J20" s="284">
        <f t="shared" ref="J20:J31" si="10">SUM(I20-G20)</f>
        <v>0</v>
      </c>
      <c r="K20" s="283">
        <v>70</v>
      </c>
      <c r="L20" s="284">
        <f t="shared" ref="L20:L31" si="11">SUM(K20-I20)</f>
        <v>0</v>
      </c>
      <c r="M20" s="283">
        <v>70</v>
      </c>
      <c r="N20" s="284">
        <f t="shared" ref="N20:N31" si="12">SUM(M20-K20)</f>
        <v>0</v>
      </c>
      <c r="O20" s="286">
        <f t="shared" si="6"/>
        <v>-70</v>
      </c>
    </row>
    <row r="21" spans="1:15" x14ac:dyDescent="0.25">
      <c r="A21" s="276" t="s">
        <v>53</v>
      </c>
      <c r="B21" s="283">
        <v>0</v>
      </c>
      <c r="C21" s="283">
        <v>70</v>
      </c>
      <c r="D21" s="284">
        <f t="shared" si="7"/>
        <v>70</v>
      </c>
      <c r="E21" s="283">
        <v>70</v>
      </c>
      <c r="F21" s="284">
        <f t="shared" si="8"/>
        <v>0</v>
      </c>
      <c r="G21" s="283">
        <v>70</v>
      </c>
      <c r="H21" s="284">
        <f t="shared" si="9"/>
        <v>0</v>
      </c>
      <c r="I21" s="283">
        <v>70</v>
      </c>
      <c r="J21" s="284">
        <f t="shared" si="10"/>
        <v>0</v>
      </c>
      <c r="K21" s="283">
        <v>70</v>
      </c>
      <c r="L21" s="284">
        <f t="shared" si="11"/>
        <v>0</v>
      </c>
      <c r="M21" s="283">
        <v>70</v>
      </c>
      <c r="N21" s="284">
        <f t="shared" si="12"/>
        <v>0</v>
      </c>
      <c r="O21" s="286">
        <f t="shared" si="6"/>
        <v>-70</v>
      </c>
    </row>
    <row r="22" spans="1:15" x14ac:dyDescent="0.25">
      <c r="A22" s="276" t="s">
        <v>54</v>
      </c>
      <c r="B22" s="283">
        <v>0</v>
      </c>
      <c r="C22" s="283">
        <v>70</v>
      </c>
      <c r="D22" s="284">
        <f t="shared" si="7"/>
        <v>70</v>
      </c>
      <c r="E22" s="283">
        <v>70</v>
      </c>
      <c r="F22" s="284">
        <f t="shared" si="8"/>
        <v>0</v>
      </c>
      <c r="G22" s="283">
        <v>70</v>
      </c>
      <c r="H22" s="284">
        <f t="shared" si="9"/>
        <v>0</v>
      </c>
      <c r="I22" s="283">
        <v>70</v>
      </c>
      <c r="J22" s="284">
        <f t="shared" si="10"/>
        <v>0</v>
      </c>
      <c r="K22" s="283">
        <v>70</v>
      </c>
      <c r="L22" s="284">
        <f t="shared" si="11"/>
        <v>0</v>
      </c>
      <c r="M22" s="283">
        <v>70</v>
      </c>
      <c r="N22" s="284">
        <f t="shared" si="12"/>
        <v>0</v>
      </c>
      <c r="O22" s="286">
        <f t="shared" si="6"/>
        <v>-70</v>
      </c>
    </row>
    <row r="23" spans="1:15" x14ac:dyDescent="0.25">
      <c r="A23" s="276" t="s">
        <v>55</v>
      </c>
      <c r="B23" s="283">
        <v>0</v>
      </c>
      <c r="C23" s="283">
        <v>70</v>
      </c>
      <c r="D23" s="284">
        <f t="shared" si="7"/>
        <v>70</v>
      </c>
      <c r="E23" s="283">
        <v>70</v>
      </c>
      <c r="F23" s="284">
        <f t="shared" si="8"/>
        <v>0</v>
      </c>
      <c r="G23" s="283">
        <v>70</v>
      </c>
      <c r="H23" s="284">
        <f t="shared" si="9"/>
        <v>0</v>
      </c>
      <c r="I23" s="283">
        <v>70</v>
      </c>
      <c r="J23" s="284">
        <f t="shared" si="10"/>
        <v>0</v>
      </c>
      <c r="K23" s="283">
        <v>70</v>
      </c>
      <c r="L23" s="284">
        <f t="shared" si="11"/>
        <v>0</v>
      </c>
      <c r="M23" s="283">
        <v>70</v>
      </c>
      <c r="N23" s="284">
        <f t="shared" si="12"/>
        <v>0</v>
      </c>
      <c r="O23" s="286">
        <f t="shared" si="6"/>
        <v>-70</v>
      </c>
    </row>
    <row r="24" spans="1:15" x14ac:dyDescent="0.25">
      <c r="A24" s="276" t="s">
        <v>56</v>
      </c>
      <c r="B24" s="283">
        <v>0</v>
      </c>
      <c r="C24" s="283">
        <v>70</v>
      </c>
      <c r="D24" s="284">
        <f t="shared" si="7"/>
        <v>70</v>
      </c>
      <c r="E24" s="283">
        <v>70</v>
      </c>
      <c r="F24" s="284">
        <f t="shared" si="8"/>
        <v>0</v>
      </c>
      <c r="G24" s="283">
        <v>70</v>
      </c>
      <c r="H24" s="284">
        <f t="shared" si="9"/>
        <v>0</v>
      </c>
      <c r="I24" s="283">
        <v>70</v>
      </c>
      <c r="J24" s="284">
        <f t="shared" si="10"/>
        <v>0</v>
      </c>
      <c r="K24" s="283">
        <v>70</v>
      </c>
      <c r="L24" s="284">
        <f t="shared" si="11"/>
        <v>0</v>
      </c>
      <c r="M24" s="283">
        <v>70</v>
      </c>
      <c r="N24" s="284">
        <f t="shared" si="12"/>
        <v>0</v>
      </c>
      <c r="O24" s="286">
        <f t="shared" si="6"/>
        <v>-70</v>
      </c>
    </row>
    <row r="25" spans="1:15" x14ac:dyDescent="0.25">
      <c r="A25" s="276" t="s">
        <v>57</v>
      </c>
      <c r="B25" s="283">
        <v>0</v>
      </c>
      <c r="C25" s="283">
        <v>70</v>
      </c>
      <c r="D25" s="284">
        <f t="shared" si="7"/>
        <v>70</v>
      </c>
      <c r="E25" s="283">
        <v>70</v>
      </c>
      <c r="F25" s="284">
        <f t="shared" si="8"/>
        <v>0</v>
      </c>
      <c r="G25" s="283">
        <v>70</v>
      </c>
      <c r="H25" s="284">
        <f t="shared" si="9"/>
        <v>0</v>
      </c>
      <c r="I25" s="283">
        <v>70</v>
      </c>
      <c r="J25" s="284">
        <f t="shared" si="10"/>
        <v>0</v>
      </c>
      <c r="K25" s="283">
        <v>70</v>
      </c>
      <c r="L25" s="284">
        <f t="shared" si="11"/>
        <v>0</v>
      </c>
      <c r="M25" s="283">
        <v>70</v>
      </c>
      <c r="N25" s="284">
        <f t="shared" si="12"/>
        <v>0</v>
      </c>
      <c r="O25" s="286">
        <f t="shared" si="6"/>
        <v>-70</v>
      </c>
    </row>
    <row r="26" spans="1:15" x14ac:dyDescent="0.25">
      <c r="A26" s="276" t="s">
        <v>58</v>
      </c>
      <c r="B26" s="283">
        <v>0</v>
      </c>
      <c r="C26" s="283">
        <v>70</v>
      </c>
      <c r="D26" s="284">
        <f t="shared" si="7"/>
        <v>70</v>
      </c>
      <c r="E26" s="283">
        <v>70</v>
      </c>
      <c r="F26" s="284">
        <f t="shared" si="8"/>
        <v>0</v>
      </c>
      <c r="G26" s="283">
        <v>70</v>
      </c>
      <c r="H26" s="284">
        <f t="shared" si="9"/>
        <v>0</v>
      </c>
      <c r="I26" s="283">
        <v>70</v>
      </c>
      <c r="J26" s="284">
        <f t="shared" si="10"/>
        <v>0</v>
      </c>
      <c r="K26" s="283">
        <v>70</v>
      </c>
      <c r="L26" s="284">
        <f t="shared" si="11"/>
        <v>0</v>
      </c>
      <c r="M26" s="283">
        <v>70</v>
      </c>
      <c r="N26" s="284">
        <f t="shared" si="12"/>
        <v>0</v>
      </c>
      <c r="O26" s="286">
        <f t="shared" si="6"/>
        <v>-70</v>
      </c>
    </row>
    <row r="27" spans="1:15" x14ac:dyDescent="0.25">
      <c r="A27" s="276" t="s">
        <v>59</v>
      </c>
      <c r="B27" s="283">
        <v>0</v>
      </c>
      <c r="C27" s="283">
        <v>70</v>
      </c>
      <c r="D27" s="284">
        <f t="shared" si="7"/>
        <v>70</v>
      </c>
      <c r="E27" s="283">
        <v>70</v>
      </c>
      <c r="F27" s="284">
        <f t="shared" si="8"/>
        <v>0</v>
      </c>
      <c r="G27" s="283">
        <v>70</v>
      </c>
      <c r="H27" s="284">
        <f t="shared" si="9"/>
        <v>0</v>
      </c>
      <c r="I27" s="283">
        <v>70</v>
      </c>
      <c r="J27" s="284">
        <f t="shared" si="10"/>
        <v>0</v>
      </c>
      <c r="K27" s="283">
        <v>70</v>
      </c>
      <c r="L27" s="284">
        <f t="shared" si="11"/>
        <v>0</v>
      </c>
      <c r="M27" s="283">
        <v>70</v>
      </c>
      <c r="N27" s="284">
        <f t="shared" si="12"/>
        <v>0</v>
      </c>
      <c r="O27" s="286">
        <f t="shared" si="6"/>
        <v>-70</v>
      </c>
    </row>
    <row r="28" spans="1:15" x14ac:dyDescent="0.25">
      <c r="A28" s="277"/>
      <c r="B28" s="286"/>
      <c r="C28" s="286"/>
      <c r="D28" s="284">
        <f t="shared" si="7"/>
        <v>0</v>
      </c>
      <c r="E28" s="286"/>
      <c r="F28" s="284">
        <f t="shared" si="8"/>
        <v>0</v>
      </c>
      <c r="G28" s="286"/>
      <c r="H28" s="284">
        <f t="shared" si="9"/>
        <v>0</v>
      </c>
      <c r="I28" s="286"/>
      <c r="J28" s="284">
        <f t="shared" si="10"/>
        <v>0</v>
      </c>
      <c r="K28" s="286"/>
      <c r="L28" s="284">
        <f t="shared" si="11"/>
        <v>0</v>
      </c>
      <c r="M28" s="286"/>
      <c r="N28" s="284">
        <f t="shared" si="12"/>
        <v>0</v>
      </c>
      <c r="O28" s="286">
        <f t="shared" si="6"/>
        <v>0</v>
      </c>
    </row>
    <row r="29" spans="1:15" x14ac:dyDescent="0.25">
      <c r="A29" s="277"/>
      <c r="B29" s="286"/>
      <c r="C29" s="286"/>
      <c r="D29" s="284">
        <f t="shared" si="7"/>
        <v>0</v>
      </c>
      <c r="E29" s="286"/>
      <c r="F29" s="284">
        <f t="shared" si="8"/>
        <v>0</v>
      </c>
      <c r="G29" s="286"/>
      <c r="H29" s="284">
        <f t="shared" si="9"/>
        <v>0</v>
      </c>
      <c r="I29" s="286"/>
      <c r="J29" s="284">
        <f t="shared" si="10"/>
        <v>0</v>
      </c>
      <c r="K29" s="286"/>
      <c r="L29" s="284">
        <f t="shared" si="11"/>
        <v>0</v>
      </c>
      <c r="M29" s="286"/>
      <c r="N29" s="284">
        <f t="shared" si="12"/>
        <v>0</v>
      </c>
      <c r="O29" s="286">
        <f t="shared" si="6"/>
        <v>0</v>
      </c>
    </row>
    <row r="30" spans="1:15" x14ac:dyDescent="0.25">
      <c r="A30" s="277"/>
      <c r="B30" s="286"/>
      <c r="C30" s="286"/>
      <c r="D30" s="284">
        <f t="shared" si="7"/>
        <v>0</v>
      </c>
      <c r="E30" s="286"/>
      <c r="F30" s="284">
        <f t="shared" si="8"/>
        <v>0</v>
      </c>
      <c r="G30" s="286"/>
      <c r="H30" s="284">
        <f t="shared" si="9"/>
        <v>0</v>
      </c>
      <c r="I30" s="286"/>
      <c r="J30" s="284">
        <f t="shared" si="10"/>
        <v>0</v>
      </c>
      <c r="K30" s="286"/>
      <c r="L30" s="284">
        <f t="shared" si="11"/>
        <v>0</v>
      </c>
      <c r="M30" s="286"/>
      <c r="N30" s="284">
        <f t="shared" si="12"/>
        <v>0</v>
      </c>
      <c r="O30" s="286">
        <f t="shared" si="6"/>
        <v>0</v>
      </c>
    </row>
    <row r="31" spans="1:15" x14ac:dyDescent="0.25">
      <c r="A31" s="277"/>
      <c r="B31" s="286"/>
      <c r="C31" s="286"/>
      <c r="D31" s="284">
        <f t="shared" si="7"/>
        <v>0</v>
      </c>
      <c r="E31" s="286"/>
      <c r="F31" s="284">
        <f t="shared" si="8"/>
        <v>0</v>
      </c>
      <c r="G31" s="286"/>
      <c r="H31" s="284">
        <f t="shared" si="9"/>
        <v>0</v>
      </c>
      <c r="I31" s="286"/>
      <c r="J31" s="284">
        <f t="shared" si="10"/>
        <v>0</v>
      </c>
      <c r="K31" s="286"/>
      <c r="L31" s="284">
        <f t="shared" si="11"/>
        <v>0</v>
      </c>
      <c r="M31" s="286"/>
      <c r="N31" s="284">
        <f t="shared" si="12"/>
        <v>0</v>
      </c>
      <c r="O31" s="286">
        <f t="shared" si="6"/>
        <v>0</v>
      </c>
    </row>
    <row r="32" spans="1:15" x14ac:dyDescent="0.25">
      <c r="A32" s="93"/>
      <c r="B32" s="93"/>
      <c r="C32" s="93"/>
      <c r="D32" s="278"/>
      <c r="E32" s="93"/>
      <c r="F32" s="278"/>
      <c r="G32" s="93"/>
      <c r="H32" s="278"/>
      <c r="I32" s="93"/>
      <c r="J32" s="278"/>
      <c r="K32" s="93"/>
      <c r="L32" s="278"/>
      <c r="M32" s="93"/>
      <c r="N32" s="278"/>
      <c r="O32" s="93"/>
    </row>
    <row r="33" spans="1:15" x14ac:dyDescent="0.25">
      <c r="A33" s="93"/>
      <c r="B33" s="93"/>
      <c r="C33" s="93"/>
      <c r="D33" s="278"/>
      <c r="E33" s="93"/>
      <c r="F33" s="278"/>
      <c r="G33" s="93"/>
      <c r="H33" s="278"/>
      <c r="I33" s="93"/>
      <c r="J33" s="278"/>
      <c r="K33" s="93"/>
      <c r="L33" s="278"/>
      <c r="M33" s="93"/>
      <c r="N33" s="278"/>
      <c r="O33" s="93"/>
    </row>
    <row r="34" spans="1:15" hidden="1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</row>
  </sheetData>
  <sheetProtection password="CB7F" sheet="1" objects="1" scenarios="1"/>
  <conditionalFormatting sqref="C7:C18 E7:E18 G7:G18 I7:I18 K7:K18 M7:M18 M20:M31 K20:K31 I20:I31 G20:G31 E20:E31 C20:C31">
    <cfRule type="cellIs" dxfId="14" priority="3" operator="between">
      <formula>100</formula>
      <formula>45</formula>
    </cfRule>
  </conditionalFormatting>
  <conditionalFormatting sqref="C7:C18 E7:E18 G7:G18 I7:I18 K7:K18 M7:M18 M20:M31 K20:K31 I20:I31 G20:G31 E20:E31 C20:C31">
    <cfRule type="cellIs" dxfId="13" priority="2" operator="between">
      <formula>44</formula>
      <formula>41</formula>
    </cfRule>
  </conditionalFormatting>
  <conditionalFormatting sqref="C7:C18 E7:E18 G7:G18 I7:I18 K7:K18 M7:M18 M20:M31 K20:K31 I20:I31 G20:G31 E20:E31 C20:C31">
    <cfRule type="cellIs" dxfId="12" priority="1" operator="between">
      <formula>40</formula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WVV95"/>
  <sheetViews>
    <sheetView showGridLines="0" zoomScaleNormal="100" workbookViewId="0">
      <selection activeCell="Q7" sqref="Q7"/>
    </sheetView>
  </sheetViews>
  <sheetFormatPr defaultColWidth="0" defaultRowHeight="15" zeroHeight="1" x14ac:dyDescent="0.25"/>
  <cols>
    <col min="1" max="1" width="1.7109375" style="44" customWidth="1"/>
    <col min="2" max="2" width="9.28515625" style="44" customWidth="1"/>
    <col min="3" max="3" width="14.7109375" style="51" customWidth="1"/>
    <col min="4" max="5" width="8" style="44" bestFit="1" customWidth="1"/>
    <col min="6" max="8" width="9" style="44" bestFit="1" customWidth="1"/>
    <col min="9" max="9" width="8.85546875" style="44" bestFit="1" customWidth="1"/>
    <col min="10" max="11" width="7.85546875" style="44" bestFit="1" customWidth="1"/>
    <col min="12" max="12" width="7.5703125" style="44" customWidth="1"/>
    <col min="13" max="16" width="7.85546875" style="44" bestFit="1" customWidth="1"/>
    <col min="17" max="20" width="9.140625" style="44" customWidth="1"/>
    <col min="21" max="33" width="9.140625" style="44" hidden="1"/>
    <col min="34" max="34" width="2.7109375" style="44" hidden="1"/>
    <col min="35" max="35" width="14.140625" style="44" hidden="1"/>
    <col min="36" max="256" width="9.140625" style="44" hidden="1"/>
    <col min="257" max="257" width="1.7109375" style="44" hidden="1"/>
    <col min="258" max="258" width="14.7109375" style="44" hidden="1"/>
    <col min="259" max="259" width="11" style="44" hidden="1"/>
    <col min="260" max="260" width="10.7109375" style="44" hidden="1"/>
    <col min="261" max="261" width="11.140625" style="44" hidden="1"/>
    <col min="262" max="262" width="11.85546875" style="44" hidden="1"/>
    <col min="263" max="263" width="11.7109375" style="44" hidden="1"/>
    <col min="264" max="264" width="11.42578125" style="44" hidden="1"/>
    <col min="265" max="265" width="10.42578125" style="44" hidden="1"/>
    <col min="266" max="266" width="10.7109375" style="44" hidden="1"/>
    <col min="267" max="267" width="10.42578125" style="44" hidden="1"/>
    <col min="268" max="268" width="8.140625" style="44" hidden="1"/>
    <col min="269" max="269" width="6.85546875" style="44" hidden="1"/>
    <col min="270" max="270" width="1.28515625" style="44" hidden="1"/>
    <col min="271" max="512" width="9.140625" style="44" hidden="1"/>
    <col min="513" max="513" width="1.7109375" style="44" hidden="1"/>
    <col min="514" max="514" width="14.7109375" style="44" hidden="1"/>
    <col min="515" max="515" width="11" style="44" hidden="1"/>
    <col min="516" max="516" width="10.7109375" style="44" hidden="1"/>
    <col min="517" max="517" width="11.140625" style="44" hidden="1"/>
    <col min="518" max="518" width="11.85546875" style="44" hidden="1"/>
    <col min="519" max="519" width="11.7109375" style="44" hidden="1"/>
    <col min="520" max="520" width="11.42578125" style="44" hidden="1"/>
    <col min="521" max="521" width="10.42578125" style="44" hidden="1"/>
    <col min="522" max="522" width="10.7109375" style="44" hidden="1"/>
    <col min="523" max="523" width="10.42578125" style="44" hidden="1"/>
    <col min="524" max="524" width="8.140625" style="44" hidden="1"/>
    <col min="525" max="525" width="6.85546875" style="44" hidden="1"/>
    <col min="526" max="526" width="1.28515625" style="44" hidden="1"/>
    <col min="527" max="768" width="9.140625" style="44" hidden="1"/>
    <col min="769" max="769" width="1.7109375" style="44" hidden="1"/>
    <col min="770" max="770" width="14.7109375" style="44" hidden="1"/>
    <col min="771" max="771" width="11" style="44" hidden="1"/>
    <col min="772" max="772" width="10.7109375" style="44" hidden="1"/>
    <col min="773" max="773" width="11.140625" style="44" hidden="1"/>
    <col min="774" max="774" width="11.85546875" style="44" hidden="1"/>
    <col min="775" max="775" width="11.7109375" style="44" hidden="1"/>
    <col min="776" max="776" width="11.42578125" style="44" hidden="1"/>
    <col min="777" max="777" width="10.42578125" style="44" hidden="1"/>
    <col min="778" max="778" width="10.7109375" style="44" hidden="1"/>
    <col min="779" max="779" width="10.42578125" style="44" hidden="1"/>
    <col min="780" max="780" width="8.140625" style="44" hidden="1"/>
    <col min="781" max="781" width="6.85546875" style="44" hidden="1"/>
    <col min="782" max="782" width="1.28515625" style="44" hidden="1"/>
    <col min="783" max="1024" width="9.140625" style="44" hidden="1"/>
    <col min="1025" max="1025" width="1.7109375" style="44" hidden="1"/>
    <col min="1026" max="1026" width="14.7109375" style="44" hidden="1"/>
    <col min="1027" max="1027" width="11" style="44" hidden="1"/>
    <col min="1028" max="1028" width="10.7109375" style="44" hidden="1"/>
    <col min="1029" max="1029" width="11.140625" style="44" hidden="1"/>
    <col min="1030" max="1030" width="11.85546875" style="44" hidden="1"/>
    <col min="1031" max="1031" width="11.7109375" style="44" hidden="1"/>
    <col min="1032" max="1032" width="11.42578125" style="44" hidden="1"/>
    <col min="1033" max="1033" width="10.42578125" style="44" hidden="1"/>
    <col min="1034" max="1034" width="10.7109375" style="44" hidden="1"/>
    <col min="1035" max="1035" width="10.42578125" style="44" hidden="1"/>
    <col min="1036" max="1036" width="8.140625" style="44" hidden="1"/>
    <col min="1037" max="1037" width="6.85546875" style="44" hidden="1"/>
    <col min="1038" max="1038" width="1.28515625" style="44" hidden="1"/>
    <col min="1039" max="1280" width="9.140625" style="44" hidden="1"/>
    <col min="1281" max="1281" width="1.7109375" style="44" hidden="1"/>
    <col min="1282" max="1282" width="14.7109375" style="44" hidden="1"/>
    <col min="1283" max="1283" width="11" style="44" hidden="1"/>
    <col min="1284" max="1284" width="10.7109375" style="44" hidden="1"/>
    <col min="1285" max="1285" width="11.140625" style="44" hidden="1"/>
    <col min="1286" max="1286" width="11.85546875" style="44" hidden="1"/>
    <col min="1287" max="1287" width="11.7109375" style="44" hidden="1"/>
    <col min="1288" max="1288" width="11.42578125" style="44" hidden="1"/>
    <col min="1289" max="1289" width="10.42578125" style="44" hidden="1"/>
    <col min="1290" max="1290" width="10.7109375" style="44" hidden="1"/>
    <col min="1291" max="1291" width="10.42578125" style="44" hidden="1"/>
    <col min="1292" max="1292" width="8.140625" style="44" hidden="1"/>
    <col min="1293" max="1293" width="6.85546875" style="44" hidden="1"/>
    <col min="1294" max="1294" width="1.28515625" style="44" hidden="1"/>
    <col min="1295" max="1536" width="9.140625" style="44" hidden="1"/>
    <col min="1537" max="1537" width="1.7109375" style="44" hidden="1"/>
    <col min="1538" max="1538" width="14.7109375" style="44" hidden="1"/>
    <col min="1539" max="1539" width="11" style="44" hidden="1"/>
    <col min="1540" max="1540" width="10.7109375" style="44" hidden="1"/>
    <col min="1541" max="1541" width="11.140625" style="44" hidden="1"/>
    <col min="1542" max="1542" width="11.85546875" style="44" hidden="1"/>
    <col min="1543" max="1543" width="11.7109375" style="44" hidden="1"/>
    <col min="1544" max="1544" width="11.42578125" style="44" hidden="1"/>
    <col min="1545" max="1545" width="10.42578125" style="44" hidden="1"/>
    <col min="1546" max="1546" width="10.7109375" style="44" hidden="1"/>
    <col min="1547" max="1547" width="10.42578125" style="44" hidden="1"/>
    <col min="1548" max="1548" width="8.140625" style="44" hidden="1"/>
    <col min="1549" max="1549" width="6.85546875" style="44" hidden="1"/>
    <col min="1550" max="1550" width="1.28515625" style="44" hidden="1"/>
    <col min="1551" max="1792" width="9.140625" style="44" hidden="1"/>
    <col min="1793" max="1793" width="1.7109375" style="44" hidden="1"/>
    <col min="1794" max="1794" width="14.7109375" style="44" hidden="1"/>
    <col min="1795" max="1795" width="11" style="44" hidden="1"/>
    <col min="1796" max="1796" width="10.7109375" style="44" hidden="1"/>
    <col min="1797" max="1797" width="11.140625" style="44" hidden="1"/>
    <col min="1798" max="1798" width="11.85546875" style="44" hidden="1"/>
    <col min="1799" max="1799" width="11.7109375" style="44" hidden="1"/>
    <col min="1800" max="1800" width="11.42578125" style="44" hidden="1"/>
    <col min="1801" max="1801" width="10.42578125" style="44" hidden="1"/>
    <col min="1802" max="1802" width="10.7109375" style="44" hidden="1"/>
    <col min="1803" max="1803" width="10.42578125" style="44" hidden="1"/>
    <col min="1804" max="1804" width="8.140625" style="44" hidden="1"/>
    <col min="1805" max="1805" width="6.85546875" style="44" hidden="1"/>
    <col min="1806" max="1806" width="1.28515625" style="44" hidden="1"/>
    <col min="1807" max="2048" width="9.140625" style="44" hidden="1"/>
    <col min="2049" max="2049" width="1.7109375" style="44" hidden="1"/>
    <col min="2050" max="2050" width="14.7109375" style="44" hidden="1"/>
    <col min="2051" max="2051" width="11" style="44" hidden="1"/>
    <col min="2052" max="2052" width="10.7109375" style="44" hidden="1"/>
    <col min="2053" max="2053" width="11.140625" style="44" hidden="1"/>
    <col min="2054" max="2054" width="11.85546875" style="44" hidden="1"/>
    <col min="2055" max="2055" width="11.7109375" style="44" hidden="1"/>
    <col min="2056" max="2056" width="11.42578125" style="44" hidden="1"/>
    <col min="2057" max="2057" width="10.42578125" style="44" hidden="1"/>
    <col min="2058" max="2058" width="10.7109375" style="44" hidden="1"/>
    <col min="2059" max="2059" width="10.42578125" style="44" hidden="1"/>
    <col min="2060" max="2060" width="8.140625" style="44" hidden="1"/>
    <col min="2061" max="2061" width="6.85546875" style="44" hidden="1"/>
    <col min="2062" max="2062" width="1.28515625" style="44" hidden="1"/>
    <col min="2063" max="2304" width="9.140625" style="44" hidden="1"/>
    <col min="2305" max="2305" width="1.7109375" style="44" hidden="1"/>
    <col min="2306" max="2306" width="14.7109375" style="44" hidden="1"/>
    <col min="2307" max="2307" width="11" style="44" hidden="1"/>
    <col min="2308" max="2308" width="10.7109375" style="44" hidden="1"/>
    <col min="2309" max="2309" width="11.140625" style="44" hidden="1"/>
    <col min="2310" max="2310" width="11.85546875" style="44" hidden="1"/>
    <col min="2311" max="2311" width="11.7109375" style="44" hidden="1"/>
    <col min="2312" max="2312" width="11.42578125" style="44" hidden="1"/>
    <col min="2313" max="2313" width="10.42578125" style="44" hidden="1"/>
    <col min="2314" max="2314" width="10.7109375" style="44" hidden="1"/>
    <col min="2315" max="2315" width="10.42578125" style="44" hidden="1"/>
    <col min="2316" max="2316" width="8.140625" style="44" hidden="1"/>
    <col min="2317" max="2317" width="6.85546875" style="44" hidden="1"/>
    <col min="2318" max="2318" width="1.28515625" style="44" hidden="1"/>
    <col min="2319" max="2560" width="9.140625" style="44" hidden="1"/>
    <col min="2561" max="2561" width="1.7109375" style="44" hidden="1"/>
    <col min="2562" max="2562" width="14.7109375" style="44" hidden="1"/>
    <col min="2563" max="2563" width="11" style="44" hidden="1"/>
    <col min="2564" max="2564" width="10.7109375" style="44" hidden="1"/>
    <col min="2565" max="2565" width="11.140625" style="44" hidden="1"/>
    <col min="2566" max="2566" width="11.85546875" style="44" hidden="1"/>
    <col min="2567" max="2567" width="11.7109375" style="44" hidden="1"/>
    <col min="2568" max="2568" width="11.42578125" style="44" hidden="1"/>
    <col min="2569" max="2569" width="10.42578125" style="44" hidden="1"/>
    <col min="2570" max="2570" width="10.7109375" style="44" hidden="1"/>
    <col min="2571" max="2571" width="10.42578125" style="44" hidden="1"/>
    <col min="2572" max="2572" width="8.140625" style="44" hidden="1"/>
    <col min="2573" max="2573" width="6.85546875" style="44" hidden="1"/>
    <col min="2574" max="2574" width="1.28515625" style="44" hidden="1"/>
    <col min="2575" max="2816" width="9.140625" style="44" hidden="1"/>
    <col min="2817" max="2817" width="1.7109375" style="44" hidden="1"/>
    <col min="2818" max="2818" width="14.7109375" style="44" hidden="1"/>
    <col min="2819" max="2819" width="11" style="44" hidden="1"/>
    <col min="2820" max="2820" width="10.7109375" style="44" hidden="1"/>
    <col min="2821" max="2821" width="11.140625" style="44" hidden="1"/>
    <col min="2822" max="2822" width="11.85546875" style="44" hidden="1"/>
    <col min="2823" max="2823" width="11.7109375" style="44" hidden="1"/>
    <col min="2824" max="2824" width="11.42578125" style="44" hidden="1"/>
    <col min="2825" max="2825" width="10.42578125" style="44" hidden="1"/>
    <col min="2826" max="2826" width="10.7109375" style="44" hidden="1"/>
    <col min="2827" max="2827" width="10.42578125" style="44" hidden="1"/>
    <col min="2828" max="2828" width="8.140625" style="44" hidden="1"/>
    <col min="2829" max="2829" width="6.85546875" style="44" hidden="1"/>
    <col min="2830" max="2830" width="1.28515625" style="44" hidden="1"/>
    <col min="2831" max="3072" width="9.140625" style="44" hidden="1"/>
    <col min="3073" max="3073" width="1.7109375" style="44" hidden="1"/>
    <col min="3074" max="3074" width="14.7109375" style="44" hidden="1"/>
    <col min="3075" max="3075" width="11" style="44" hidden="1"/>
    <col min="3076" max="3076" width="10.7109375" style="44" hidden="1"/>
    <col min="3077" max="3077" width="11.140625" style="44" hidden="1"/>
    <col min="3078" max="3078" width="11.85546875" style="44" hidden="1"/>
    <col min="3079" max="3079" width="11.7109375" style="44" hidden="1"/>
    <col min="3080" max="3080" width="11.42578125" style="44" hidden="1"/>
    <col min="3081" max="3081" width="10.42578125" style="44" hidden="1"/>
    <col min="3082" max="3082" width="10.7109375" style="44" hidden="1"/>
    <col min="3083" max="3083" width="10.42578125" style="44" hidden="1"/>
    <col min="3084" max="3084" width="8.140625" style="44" hidden="1"/>
    <col min="3085" max="3085" width="6.85546875" style="44" hidden="1"/>
    <col min="3086" max="3086" width="1.28515625" style="44" hidden="1"/>
    <col min="3087" max="3328" width="9.140625" style="44" hidden="1"/>
    <col min="3329" max="3329" width="1.7109375" style="44" hidden="1"/>
    <col min="3330" max="3330" width="14.7109375" style="44" hidden="1"/>
    <col min="3331" max="3331" width="11" style="44" hidden="1"/>
    <col min="3332" max="3332" width="10.7109375" style="44" hidden="1"/>
    <col min="3333" max="3333" width="11.140625" style="44" hidden="1"/>
    <col min="3334" max="3334" width="11.85546875" style="44" hidden="1"/>
    <col min="3335" max="3335" width="11.7109375" style="44" hidden="1"/>
    <col min="3336" max="3336" width="11.42578125" style="44" hidden="1"/>
    <col min="3337" max="3337" width="10.42578125" style="44" hidden="1"/>
    <col min="3338" max="3338" width="10.7109375" style="44" hidden="1"/>
    <col min="3339" max="3339" width="10.42578125" style="44" hidden="1"/>
    <col min="3340" max="3340" width="8.140625" style="44" hidden="1"/>
    <col min="3341" max="3341" width="6.85546875" style="44" hidden="1"/>
    <col min="3342" max="3342" width="1.28515625" style="44" hidden="1"/>
    <col min="3343" max="3584" width="9.140625" style="44" hidden="1"/>
    <col min="3585" max="3585" width="1.7109375" style="44" hidden="1"/>
    <col min="3586" max="3586" width="14.7109375" style="44" hidden="1"/>
    <col min="3587" max="3587" width="11" style="44" hidden="1"/>
    <col min="3588" max="3588" width="10.7109375" style="44" hidden="1"/>
    <col min="3589" max="3589" width="11.140625" style="44" hidden="1"/>
    <col min="3590" max="3590" width="11.85546875" style="44" hidden="1"/>
    <col min="3591" max="3591" width="11.7109375" style="44" hidden="1"/>
    <col min="3592" max="3592" width="11.42578125" style="44" hidden="1"/>
    <col min="3593" max="3593" width="10.42578125" style="44" hidden="1"/>
    <col min="3594" max="3594" width="10.7109375" style="44" hidden="1"/>
    <col min="3595" max="3595" width="10.42578125" style="44" hidden="1"/>
    <col min="3596" max="3596" width="8.140625" style="44" hidden="1"/>
    <col min="3597" max="3597" width="6.85546875" style="44" hidden="1"/>
    <col min="3598" max="3598" width="1.28515625" style="44" hidden="1"/>
    <col min="3599" max="3840" width="9.140625" style="44" hidden="1"/>
    <col min="3841" max="3841" width="1.7109375" style="44" hidden="1"/>
    <col min="3842" max="3842" width="14.7109375" style="44" hidden="1"/>
    <col min="3843" max="3843" width="11" style="44" hidden="1"/>
    <col min="3844" max="3844" width="10.7109375" style="44" hidden="1"/>
    <col min="3845" max="3845" width="11.140625" style="44" hidden="1"/>
    <col min="3846" max="3846" width="11.85546875" style="44" hidden="1"/>
    <col min="3847" max="3847" width="11.7109375" style="44" hidden="1"/>
    <col min="3848" max="3848" width="11.42578125" style="44" hidden="1"/>
    <col min="3849" max="3849" width="10.42578125" style="44" hidden="1"/>
    <col min="3850" max="3850" width="10.7109375" style="44" hidden="1"/>
    <col min="3851" max="3851" width="10.42578125" style="44" hidden="1"/>
    <col min="3852" max="3852" width="8.140625" style="44" hidden="1"/>
    <col min="3853" max="3853" width="6.85546875" style="44" hidden="1"/>
    <col min="3854" max="3854" width="1.28515625" style="44" hidden="1"/>
    <col min="3855" max="4096" width="9.140625" style="44" hidden="1"/>
    <col min="4097" max="4097" width="1.7109375" style="44" hidden="1"/>
    <col min="4098" max="4098" width="14.7109375" style="44" hidden="1"/>
    <col min="4099" max="4099" width="11" style="44" hidden="1"/>
    <col min="4100" max="4100" width="10.7109375" style="44" hidden="1"/>
    <col min="4101" max="4101" width="11.140625" style="44" hidden="1"/>
    <col min="4102" max="4102" width="11.85546875" style="44" hidden="1"/>
    <col min="4103" max="4103" width="11.7109375" style="44" hidden="1"/>
    <col min="4104" max="4104" width="11.42578125" style="44" hidden="1"/>
    <col min="4105" max="4105" width="10.42578125" style="44" hidden="1"/>
    <col min="4106" max="4106" width="10.7109375" style="44" hidden="1"/>
    <col min="4107" max="4107" width="10.42578125" style="44" hidden="1"/>
    <col min="4108" max="4108" width="8.140625" style="44" hidden="1"/>
    <col min="4109" max="4109" width="6.85546875" style="44" hidden="1"/>
    <col min="4110" max="4110" width="1.28515625" style="44" hidden="1"/>
    <col min="4111" max="4352" width="9.140625" style="44" hidden="1"/>
    <col min="4353" max="4353" width="1.7109375" style="44" hidden="1"/>
    <col min="4354" max="4354" width="14.7109375" style="44" hidden="1"/>
    <col min="4355" max="4355" width="11" style="44" hidden="1"/>
    <col min="4356" max="4356" width="10.7109375" style="44" hidden="1"/>
    <col min="4357" max="4357" width="11.140625" style="44" hidden="1"/>
    <col min="4358" max="4358" width="11.85546875" style="44" hidden="1"/>
    <col min="4359" max="4359" width="11.7109375" style="44" hidden="1"/>
    <col min="4360" max="4360" width="11.42578125" style="44" hidden="1"/>
    <col min="4361" max="4361" width="10.42578125" style="44" hidden="1"/>
    <col min="4362" max="4362" width="10.7109375" style="44" hidden="1"/>
    <col min="4363" max="4363" width="10.42578125" style="44" hidden="1"/>
    <col min="4364" max="4364" width="8.140625" style="44" hidden="1"/>
    <col min="4365" max="4365" width="6.85546875" style="44" hidden="1"/>
    <col min="4366" max="4366" width="1.28515625" style="44" hidden="1"/>
    <col min="4367" max="4608" width="9.140625" style="44" hidden="1"/>
    <col min="4609" max="4609" width="1.7109375" style="44" hidden="1"/>
    <col min="4610" max="4610" width="14.7109375" style="44" hidden="1"/>
    <col min="4611" max="4611" width="11" style="44" hidden="1"/>
    <col min="4612" max="4612" width="10.7109375" style="44" hidden="1"/>
    <col min="4613" max="4613" width="11.140625" style="44" hidden="1"/>
    <col min="4614" max="4614" width="11.85546875" style="44" hidden="1"/>
    <col min="4615" max="4615" width="11.7109375" style="44" hidden="1"/>
    <col min="4616" max="4616" width="11.42578125" style="44" hidden="1"/>
    <col min="4617" max="4617" width="10.42578125" style="44" hidden="1"/>
    <col min="4618" max="4618" width="10.7109375" style="44" hidden="1"/>
    <col min="4619" max="4619" width="10.42578125" style="44" hidden="1"/>
    <col min="4620" max="4620" width="8.140625" style="44" hidden="1"/>
    <col min="4621" max="4621" width="6.85546875" style="44" hidden="1"/>
    <col min="4622" max="4622" width="1.28515625" style="44" hidden="1"/>
    <col min="4623" max="4864" width="9.140625" style="44" hidden="1"/>
    <col min="4865" max="4865" width="1.7109375" style="44" hidden="1"/>
    <col min="4866" max="4866" width="14.7109375" style="44" hidden="1"/>
    <col min="4867" max="4867" width="11" style="44" hidden="1"/>
    <col min="4868" max="4868" width="10.7109375" style="44" hidden="1"/>
    <col min="4869" max="4869" width="11.140625" style="44" hidden="1"/>
    <col min="4870" max="4870" width="11.85546875" style="44" hidden="1"/>
    <col min="4871" max="4871" width="11.7109375" style="44" hidden="1"/>
    <col min="4872" max="4872" width="11.42578125" style="44" hidden="1"/>
    <col min="4873" max="4873" width="10.42578125" style="44" hidden="1"/>
    <col min="4874" max="4874" width="10.7109375" style="44" hidden="1"/>
    <col min="4875" max="4875" width="10.42578125" style="44" hidden="1"/>
    <col min="4876" max="4876" width="8.140625" style="44" hidden="1"/>
    <col min="4877" max="4877" width="6.85546875" style="44" hidden="1"/>
    <col min="4878" max="4878" width="1.28515625" style="44" hidden="1"/>
    <col min="4879" max="5120" width="9.140625" style="44" hidden="1"/>
    <col min="5121" max="5121" width="1.7109375" style="44" hidden="1"/>
    <col min="5122" max="5122" width="14.7109375" style="44" hidden="1"/>
    <col min="5123" max="5123" width="11" style="44" hidden="1"/>
    <col min="5124" max="5124" width="10.7109375" style="44" hidden="1"/>
    <col min="5125" max="5125" width="11.140625" style="44" hidden="1"/>
    <col min="5126" max="5126" width="11.85546875" style="44" hidden="1"/>
    <col min="5127" max="5127" width="11.7109375" style="44" hidden="1"/>
    <col min="5128" max="5128" width="11.42578125" style="44" hidden="1"/>
    <col min="5129" max="5129" width="10.42578125" style="44" hidden="1"/>
    <col min="5130" max="5130" width="10.7109375" style="44" hidden="1"/>
    <col min="5131" max="5131" width="10.42578125" style="44" hidden="1"/>
    <col min="5132" max="5132" width="8.140625" style="44" hidden="1"/>
    <col min="5133" max="5133" width="6.85546875" style="44" hidden="1"/>
    <col min="5134" max="5134" width="1.28515625" style="44" hidden="1"/>
    <col min="5135" max="5376" width="9.140625" style="44" hidden="1"/>
    <col min="5377" max="5377" width="1.7109375" style="44" hidden="1"/>
    <col min="5378" max="5378" width="14.7109375" style="44" hidden="1"/>
    <col min="5379" max="5379" width="11" style="44" hidden="1"/>
    <col min="5380" max="5380" width="10.7109375" style="44" hidden="1"/>
    <col min="5381" max="5381" width="11.140625" style="44" hidden="1"/>
    <col min="5382" max="5382" width="11.85546875" style="44" hidden="1"/>
    <col min="5383" max="5383" width="11.7109375" style="44" hidden="1"/>
    <col min="5384" max="5384" width="11.42578125" style="44" hidden="1"/>
    <col min="5385" max="5385" width="10.42578125" style="44" hidden="1"/>
    <col min="5386" max="5386" width="10.7109375" style="44" hidden="1"/>
    <col min="5387" max="5387" width="10.42578125" style="44" hidden="1"/>
    <col min="5388" max="5388" width="8.140625" style="44" hidden="1"/>
    <col min="5389" max="5389" width="6.85546875" style="44" hidden="1"/>
    <col min="5390" max="5390" width="1.28515625" style="44" hidden="1"/>
    <col min="5391" max="5632" width="9.140625" style="44" hidden="1"/>
    <col min="5633" max="5633" width="1.7109375" style="44" hidden="1"/>
    <col min="5634" max="5634" width="14.7109375" style="44" hidden="1"/>
    <col min="5635" max="5635" width="11" style="44" hidden="1"/>
    <col min="5636" max="5636" width="10.7109375" style="44" hidden="1"/>
    <col min="5637" max="5637" width="11.140625" style="44" hidden="1"/>
    <col min="5638" max="5638" width="11.85546875" style="44" hidden="1"/>
    <col min="5639" max="5639" width="11.7109375" style="44" hidden="1"/>
    <col min="5640" max="5640" width="11.42578125" style="44" hidden="1"/>
    <col min="5641" max="5641" width="10.42578125" style="44" hidden="1"/>
    <col min="5642" max="5642" width="10.7109375" style="44" hidden="1"/>
    <col min="5643" max="5643" width="10.42578125" style="44" hidden="1"/>
    <col min="5644" max="5644" width="8.140625" style="44" hidden="1"/>
    <col min="5645" max="5645" width="6.85546875" style="44" hidden="1"/>
    <col min="5646" max="5646" width="1.28515625" style="44" hidden="1"/>
    <col min="5647" max="5888" width="9.140625" style="44" hidden="1"/>
    <col min="5889" max="5889" width="1.7109375" style="44" hidden="1"/>
    <col min="5890" max="5890" width="14.7109375" style="44" hidden="1"/>
    <col min="5891" max="5891" width="11" style="44" hidden="1"/>
    <col min="5892" max="5892" width="10.7109375" style="44" hidden="1"/>
    <col min="5893" max="5893" width="11.140625" style="44" hidden="1"/>
    <col min="5894" max="5894" width="11.85546875" style="44" hidden="1"/>
    <col min="5895" max="5895" width="11.7109375" style="44" hidden="1"/>
    <col min="5896" max="5896" width="11.42578125" style="44" hidden="1"/>
    <col min="5897" max="5897" width="10.42578125" style="44" hidden="1"/>
    <col min="5898" max="5898" width="10.7109375" style="44" hidden="1"/>
    <col min="5899" max="5899" width="10.42578125" style="44" hidden="1"/>
    <col min="5900" max="5900" width="8.140625" style="44" hidden="1"/>
    <col min="5901" max="5901" width="6.85546875" style="44" hidden="1"/>
    <col min="5902" max="5902" width="1.28515625" style="44" hidden="1"/>
    <col min="5903" max="6144" width="9.140625" style="44" hidden="1"/>
    <col min="6145" max="6145" width="1.7109375" style="44" hidden="1"/>
    <col min="6146" max="6146" width="14.7109375" style="44" hidden="1"/>
    <col min="6147" max="6147" width="11" style="44" hidden="1"/>
    <col min="6148" max="6148" width="10.7109375" style="44" hidden="1"/>
    <col min="6149" max="6149" width="11.140625" style="44" hidden="1"/>
    <col min="6150" max="6150" width="11.85546875" style="44" hidden="1"/>
    <col min="6151" max="6151" width="11.7109375" style="44" hidden="1"/>
    <col min="6152" max="6152" width="11.42578125" style="44" hidden="1"/>
    <col min="6153" max="6153" width="10.42578125" style="44" hidden="1"/>
    <col min="6154" max="6154" width="10.7109375" style="44" hidden="1"/>
    <col min="6155" max="6155" width="10.42578125" style="44" hidden="1"/>
    <col min="6156" max="6156" width="8.140625" style="44" hidden="1"/>
    <col min="6157" max="6157" width="6.85546875" style="44" hidden="1"/>
    <col min="6158" max="6158" width="1.28515625" style="44" hidden="1"/>
    <col min="6159" max="6400" width="9.140625" style="44" hidden="1"/>
    <col min="6401" max="6401" width="1.7109375" style="44" hidden="1"/>
    <col min="6402" max="6402" width="14.7109375" style="44" hidden="1"/>
    <col min="6403" max="6403" width="11" style="44" hidden="1"/>
    <col min="6404" max="6404" width="10.7109375" style="44" hidden="1"/>
    <col min="6405" max="6405" width="11.140625" style="44" hidden="1"/>
    <col min="6406" max="6406" width="11.85546875" style="44" hidden="1"/>
    <col min="6407" max="6407" width="11.7109375" style="44" hidden="1"/>
    <col min="6408" max="6408" width="11.42578125" style="44" hidden="1"/>
    <col min="6409" max="6409" width="10.42578125" style="44" hidden="1"/>
    <col min="6410" max="6410" width="10.7109375" style="44" hidden="1"/>
    <col min="6411" max="6411" width="10.42578125" style="44" hidden="1"/>
    <col min="6412" max="6412" width="8.140625" style="44" hidden="1"/>
    <col min="6413" max="6413" width="6.85546875" style="44" hidden="1"/>
    <col min="6414" max="6414" width="1.28515625" style="44" hidden="1"/>
    <col min="6415" max="6656" width="9.140625" style="44" hidden="1"/>
    <col min="6657" max="6657" width="1.7109375" style="44" hidden="1"/>
    <col min="6658" max="6658" width="14.7109375" style="44" hidden="1"/>
    <col min="6659" max="6659" width="11" style="44" hidden="1"/>
    <col min="6660" max="6660" width="10.7109375" style="44" hidden="1"/>
    <col min="6661" max="6661" width="11.140625" style="44" hidden="1"/>
    <col min="6662" max="6662" width="11.85546875" style="44" hidden="1"/>
    <col min="6663" max="6663" width="11.7109375" style="44" hidden="1"/>
    <col min="6664" max="6664" width="11.42578125" style="44" hidden="1"/>
    <col min="6665" max="6665" width="10.42578125" style="44" hidden="1"/>
    <col min="6666" max="6666" width="10.7109375" style="44" hidden="1"/>
    <col min="6667" max="6667" width="10.42578125" style="44" hidden="1"/>
    <col min="6668" max="6668" width="8.140625" style="44" hidden="1"/>
    <col min="6669" max="6669" width="6.85546875" style="44" hidden="1"/>
    <col min="6670" max="6670" width="1.28515625" style="44" hidden="1"/>
    <col min="6671" max="6912" width="9.140625" style="44" hidden="1"/>
    <col min="6913" max="6913" width="1.7109375" style="44" hidden="1"/>
    <col min="6914" max="6914" width="14.7109375" style="44" hidden="1"/>
    <col min="6915" max="6915" width="11" style="44" hidden="1"/>
    <col min="6916" max="6916" width="10.7109375" style="44" hidden="1"/>
    <col min="6917" max="6917" width="11.140625" style="44" hidden="1"/>
    <col min="6918" max="6918" width="11.85546875" style="44" hidden="1"/>
    <col min="6919" max="6919" width="11.7109375" style="44" hidden="1"/>
    <col min="6920" max="6920" width="11.42578125" style="44" hidden="1"/>
    <col min="6921" max="6921" width="10.42578125" style="44" hidden="1"/>
    <col min="6922" max="6922" width="10.7109375" style="44" hidden="1"/>
    <col min="6923" max="6923" width="10.42578125" style="44" hidden="1"/>
    <col min="6924" max="6924" width="8.140625" style="44" hidden="1"/>
    <col min="6925" max="6925" width="6.85546875" style="44" hidden="1"/>
    <col min="6926" max="6926" width="1.28515625" style="44" hidden="1"/>
    <col min="6927" max="7168" width="9.140625" style="44" hidden="1"/>
    <col min="7169" max="7169" width="1.7109375" style="44" hidden="1"/>
    <col min="7170" max="7170" width="14.7109375" style="44" hidden="1"/>
    <col min="7171" max="7171" width="11" style="44" hidden="1"/>
    <col min="7172" max="7172" width="10.7109375" style="44" hidden="1"/>
    <col min="7173" max="7173" width="11.140625" style="44" hidden="1"/>
    <col min="7174" max="7174" width="11.85546875" style="44" hidden="1"/>
    <col min="7175" max="7175" width="11.7109375" style="44" hidden="1"/>
    <col min="7176" max="7176" width="11.42578125" style="44" hidden="1"/>
    <col min="7177" max="7177" width="10.42578125" style="44" hidden="1"/>
    <col min="7178" max="7178" width="10.7109375" style="44" hidden="1"/>
    <col min="7179" max="7179" width="10.42578125" style="44" hidden="1"/>
    <col min="7180" max="7180" width="8.140625" style="44" hidden="1"/>
    <col min="7181" max="7181" width="6.85546875" style="44" hidden="1"/>
    <col min="7182" max="7182" width="1.28515625" style="44" hidden="1"/>
    <col min="7183" max="7424" width="9.140625" style="44" hidden="1"/>
    <col min="7425" max="7425" width="1.7109375" style="44" hidden="1"/>
    <col min="7426" max="7426" width="14.7109375" style="44" hidden="1"/>
    <col min="7427" max="7427" width="11" style="44" hidden="1"/>
    <col min="7428" max="7428" width="10.7109375" style="44" hidden="1"/>
    <col min="7429" max="7429" width="11.140625" style="44" hidden="1"/>
    <col min="7430" max="7430" width="11.85546875" style="44" hidden="1"/>
    <col min="7431" max="7431" width="11.7109375" style="44" hidden="1"/>
    <col min="7432" max="7432" width="11.42578125" style="44" hidden="1"/>
    <col min="7433" max="7433" width="10.42578125" style="44" hidden="1"/>
    <col min="7434" max="7434" width="10.7109375" style="44" hidden="1"/>
    <col min="7435" max="7435" width="10.42578125" style="44" hidden="1"/>
    <col min="7436" max="7436" width="8.140625" style="44" hidden="1"/>
    <col min="7437" max="7437" width="6.85546875" style="44" hidden="1"/>
    <col min="7438" max="7438" width="1.28515625" style="44" hidden="1"/>
    <col min="7439" max="7680" width="9.140625" style="44" hidden="1"/>
    <col min="7681" max="7681" width="1.7109375" style="44" hidden="1"/>
    <col min="7682" max="7682" width="14.7109375" style="44" hidden="1"/>
    <col min="7683" max="7683" width="11" style="44" hidden="1"/>
    <col min="7684" max="7684" width="10.7109375" style="44" hidden="1"/>
    <col min="7685" max="7685" width="11.140625" style="44" hidden="1"/>
    <col min="7686" max="7686" width="11.85546875" style="44" hidden="1"/>
    <col min="7687" max="7687" width="11.7109375" style="44" hidden="1"/>
    <col min="7688" max="7688" width="11.42578125" style="44" hidden="1"/>
    <col min="7689" max="7689" width="10.42578125" style="44" hidden="1"/>
    <col min="7690" max="7690" width="10.7109375" style="44" hidden="1"/>
    <col min="7691" max="7691" width="10.42578125" style="44" hidden="1"/>
    <col min="7692" max="7692" width="8.140625" style="44" hidden="1"/>
    <col min="7693" max="7693" width="6.85546875" style="44" hidden="1"/>
    <col min="7694" max="7694" width="1.28515625" style="44" hidden="1"/>
    <col min="7695" max="7936" width="9.140625" style="44" hidden="1"/>
    <col min="7937" max="7937" width="1.7109375" style="44" hidden="1"/>
    <col min="7938" max="7938" width="14.7109375" style="44" hidden="1"/>
    <col min="7939" max="7939" width="11" style="44" hidden="1"/>
    <col min="7940" max="7940" width="10.7109375" style="44" hidden="1"/>
    <col min="7941" max="7941" width="11.140625" style="44" hidden="1"/>
    <col min="7942" max="7942" width="11.85546875" style="44" hidden="1"/>
    <col min="7943" max="7943" width="11.7109375" style="44" hidden="1"/>
    <col min="7944" max="7944" width="11.42578125" style="44" hidden="1"/>
    <col min="7945" max="7945" width="10.42578125" style="44" hidden="1"/>
    <col min="7946" max="7946" width="10.7109375" style="44" hidden="1"/>
    <col min="7947" max="7947" width="10.42578125" style="44" hidden="1"/>
    <col min="7948" max="7948" width="8.140625" style="44" hidden="1"/>
    <col min="7949" max="7949" width="6.85546875" style="44" hidden="1"/>
    <col min="7950" max="7950" width="1.28515625" style="44" hidden="1"/>
    <col min="7951" max="8192" width="9.140625" style="44" hidden="1"/>
    <col min="8193" max="8193" width="1.7109375" style="44" hidden="1"/>
    <col min="8194" max="8194" width="14.7109375" style="44" hidden="1"/>
    <col min="8195" max="8195" width="11" style="44" hidden="1"/>
    <col min="8196" max="8196" width="10.7109375" style="44" hidden="1"/>
    <col min="8197" max="8197" width="11.140625" style="44" hidden="1"/>
    <col min="8198" max="8198" width="11.85546875" style="44" hidden="1"/>
    <col min="8199" max="8199" width="11.7109375" style="44" hidden="1"/>
    <col min="8200" max="8200" width="11.42578125" style="44" hidden="1"/>
    <col min="8201" max="8201" width="10.42578125" style="44" hidden="1"/>
    <col min="8202" max="8202" width="10.7109375" style="44" hidden="1"/>
    <col min="8203" max="8203" width="10.42578125" style="44" hidden="1"/>
    <col min="8204" max="8204" width="8.140625" style="44" hidden="1"/>
    <col min="8205" max="8205" width="6.85546875" style="44" hidden="1"/>
    <col min="8206" max="8206" width="1.28515625" style="44" hidden="1"/>
    <col min="8207" max="8448" width="9.140625" style="44" hidden="1"/>
    <col min="8449" max="8449" width="1.7109375" style="44" hidden="1"/>
    <col min="8450" max="8450" width="14.7109375" style="44" hidden="1"/>
    <col min="8451" max="8451" width="11" style="44" hidden="1"/>
    <col min="8452" max="8452" width="10.7109375" style="44" hidden="1"/>
    <col min="8453" max="8453" width="11.140625" style="44" hidden="1"/>
    <col min="8454" max="8454" width="11.85546875" style="44" hidden="1"/>
    <col min="8455" max="8455" width="11.7109375" style="44" hidden="1"/>
    <col min="8456" max="8456" width="11.42578125" style="44" hidden="1"/>
    <col min="8457" max="8457" width="10.42578125" style="44" hidden="1"/>
    <col min="8458" max="8458" width="10.7109375" style="44" hidden="1"/>
    <col min="8459" max="8459" width="10.42578125" style="44" hidden="1"/>
    <col min="8460" max="8460" width="8.140625" style="44" hidden="1"/>
    <col min="8461" max="8461" width="6.85546875" style="44" hidden="1"/>
    <col min="8462" max="8462" width="1.28515625" style="44" hidden="1"/>
    <col min="8463" max="8704" width="9.140625" style="44" hidden="1"/>
    <col min="8705" max="8705" width="1.7109375" style="44" hidden="1"/>
    <col min="8706" max="8706" width="14.7109375" style="44" hidden="1"/>
    <col min="8707" max="8707" width="11" style="44" hidden="1"/>
    <col min="8708" max="8708" width="10.7109375" style="44" hidden="1"/>
    <col min="8709" max="8709" width="11.140625" style="44" hidden="1"/>
    <col min="8710" max="8710" width="11.85546875" style="44" hidden="1"/>
    <col min="8711" max="8711" width="11.7109375" style="44" hidden="1"/>
    <col min="8712" max="8712" width="11.42578125" style="44" hidden="1"/>
    <col min="8713" max="8713" width="10.42578125" style="44" hidden="1"/>
    <col min="8714" max="8714" width="10.7109375" style="44" hidden="1"/>
    <col min="8715" max="8715" width="10.42578125" style="44" hidden="1"/>
    <col min="8716" max="8716" width="8.140625" style="44" hidden="1"/>
    <col min="8717" max="8717" width="6.85546875" style="44" hidden="1"/>
    <col min="8718" max="8718" width="1.28515625" style="44" hidden="1"/>
    <col min="8719" max="8960" width="9.140625" style="44" hidden="1"/>
    <col min="8961" max="8961" width="1.7109375" style="44" hidden="1"/>
    <col min="8962" max="8962" width="14.7109375" style="44" hidden="1"/>
    <col min="8963" max="8963" width="11" style="44" hidden="1"/>
    <col min="8964" max="8964" width="10.7109375" style="44" hidden="1"/>
    <col min="8965" max="8965" width="11.140625" style="44" hidden="1"/>
    <col min="8966" max="8966" width="11.85546875" style="44" hidden="1"/>
    <col min="8967" max="8967" width="11.7109375" style="44" hidden="1"/>
    <col min="8968" max="8968" width="11.42578125" style="44" hidden="1"/>
    <col min="8969" max="8969" width="10.42578125" style="44" hidden="1"/>
    <col min="8970" max="8970" width="10.7109375" style="44" hidden="1"/>
    <col min="8971" max="8971" width="10.42578125" style="44" hidden="1"/>
    <col min="8972" max="8972" width="8.140625" style="44" hidden="1"/>
    <col min="8973" max="8973" width="6.85546875" style="44" hidden="1"/>
    <col min="8974" max="8974" width="1.28515625" style="44" hidden="1"/>
    <col min="8975" max="9216" width="9.140625" style="44" hidden="1"/>
    <col min="9217" max="9217" width="1.7109375" style="44" hidden="1"/>
    <col min="9218" max="9218" width="14.7109375" style="44" hidden="1"/>
    <col min="9219" max="9219" width="11" style="44" hidden="1"/>
    <col min="9220" max="9220" width="10.7109375" style="44" hidden="1"/>
    <col min="9221" max="9221" width="11.140625" style="44" hidden="1"/>
    <col min="9222" max="9222" width="11.85546875" style="44" hidden="1"/>
    <col min="9223" max="9223" width="11.7109375" style="44" hidden="1"/>
    <col min="9224" max="9224" width="11.42578125" style="44" hidden="1"/>
    <col min="9225" max="9225" width="10.42578125" style="44" hidden="1"/>
    <col min="9226" max="9226" width="10.7109375" style="44" hidden="1"/>
    <col min="9227" max="9227" width="10.42578125" style="44" hidden="1"/>
    <col min="9228" max="9228" width="8.140625" style="44" hidden="1"/>
    <col min="9229" max="9229" width="6.85546875" style="44" hidden="1"/>
    <col min="9230" max="9230" width="1.28515625" style="44" hidden="1"/>
    <col min="9231" max="9472" width="9.140625" style="44" hidden="1"/>
    <col min="9473" max="9473" width="1.7109375" style="44" hidden="1"/>
    <col min="9474" max="9474" width="14.7109375" style="44" hidden="1"/>
    <col min="9475" max="9475" width="11" style="44" hidden="1"/>
    <col min="9476" max="9476" width="10.7109375" style="44" hidden="1"/>
    <col min="9477" max="9477" width="11.140625" style="44" hidden="1"/>
    <col min="9478" max="9478" width="11.85546875" style="44" hidden="1"/>
    <col min="9479" max="9479" width="11.7109375" style="44" hidden="1"/>
    <col min="9480" max="9480" width="11.42578125" style="44" hidden="1"/>
    <col min="9481" max="9481" width="10.42578125" style="44" hidden="1"/>
    <col min="9482" max="9482" width="10.7109375" style="44" hidden="1"/>
    <col min="9483" max="9483" width="10.42578125" style="44" hidden="1"/>
    <col min="9484" max="9484" width="8.140625" style="44" hidden="1"/>
    <col min="9485" max="9485" width="6.85546875" style="44" hidden="1"/>
    <col min="9486" max="9486" width="1.28515625" style="44" hidden="1"/>
    <col min="9487" max="9728" width="9.140625" style="44" hidden="1"/>
    <col min="9729" max="9729" width="1.7109375" style="44" hidden="1"/>
    <col min="9730" max="9730" width="14.7109375" style="44" hidden="1"/>
    <col min="9731" max="9731" width="11" style="44" hidden="1"/>
    <col min="9732" max="9732" width="10.7109375" style="44" hidden="1"/>
    <col min="9733" max="9733" width="11.140625" style="44" hidden="1"/>
    <col min="9734" max="9734" width="11.85546875" style="44" hidden="1"/>
    <col min="9735" max="9735" width="11.7109375" style="44" hidden="1"/>
    <col min="9736" max="9736" width="11.42578125" style="44" hidden="1"/>
    <col min="9737" max="9737" width="10.42578125" style="44" hidden="1"/>
    <col min="9738" max="9738" width="10.7109375" style="44" hidden="1"/>
    <col min="9739" max="9739" width="10.42578125" style="44" hidden="1"/>
    <col min="9740" max="9740" width="8.140625" style="44" hidden="1"/>
    <col min="9741" max="9741" width="6.85546875" style="44" hidden="1"/>
    <col min="9742" max="9742" width="1.28515625" style="44" hidden="1"/>
    <col min="9743" max="9984" width="9.140625" style="44" hidden="1"/>
    <col min="9985" max="9985" width="1.7109375" style="44" hidden="1"/>
    <col min="9986" max="9986" width="14.7109375" style="44" hidden="1"/>
    <col min="9987" max="9987" width="11" style="44" hidden="1"/>
    <col min="9988" max="9988" width="10.7109375" style="44" hidden="1"/>
    <col min="9989" max="9989" width="11.140625" style="44" hidden="1"/>
    <col min="9990" max="9990" width="11.85546875" style="44" hidden="1"/>
    <col min="9991" max="9991" width="11.7109375" style="44" hidden="1"/>
    <col min="9992" max="9992" width="11.42578125" style="44" hidden="1"/>
    <col min="9993" max="9993" width="10.42578125" style="44" hidden="1"/>
    <col min="9994" max="9994" width="10.7109375" style="44" hidden="1"/>
    <col min="9995" max="9995" width="10.42578125" style="44" hidden="1"/>
    <col min="9996" max="9996" width="8.140625" style="44" hidden="1"/>
    <col min="9997" max="9997" width="6.85546875" style="44" hidden="1"/>
    <col min="9998" max="9998" width="1.28515625" style="44" hidden="1"/>
    <col min="9999" max="10240" width="9.140625" style="44" hidden="1"/>
    <col min="10241" max="10241" width="1.7109375" style="44" hidden="1"/>
    <col min="10242" max="10242" width="14.7109375" style="44" hidden="1"/>
    <col min="10243" max="10243" width="11" style="44" hidden="1"/>
    <col min="10244" max="10244" width="10.7109375" style="44" hidden="1"/>
    <col min="10245" max="10245" width="11.140625" style="44" hidden="1"/>
    <col min="10246" max="10246" width="11.85546875" style="44" hidden="1"/>
    <col min="10247" max="10247" width="11.7109375" style="44" hidden="1"/>
    <col min="10248" max="10248" width="11.42578125" style="44" hidden="1"/>
    <col min="10249" max="10249" width="10.42578125" style="44" hidden="1"/>
    <col min="10250" max="10250" width="10.7109375" style="44" hidden="1"/>
    <col min="10251" max="10251" width="10.42578125" style="44" hidden="1"/>
    <col min="10252" max="10252" width="8.140625" style="44" hidden="1"/>
    <col min="10253" max="10253" width="6.85546875" style="44" hidden="1"/>
    <col min="10254" max="10254" width="1.28515625" style="44" hidden="1"/>
    <col min="10255" max="10496" width="9.140625" style="44" hidden="1"/>
    <col min="10497" max="10497" width="1.7109375" style="44" hidden="1"/>
    <col min="10498" max="10498" width="14.7109375" style="44" hidden="1"/>
    <col min="10499" max="10499" width="11" style="44" hidden="1"/>
    <col min="10500" max="10500" width="10.7109375" style="44" hidden="1"/>
    <col min="10501" max="10501" width="11.140625" style="44" hidden="1"/>
    <col min="10502" max="10502" width="11.85546875" style="44" hidden="1"/>
    <col min="10503" max="10503" width="11.7109375" style="44" hidden="1"/>
    <col min="10504" max="10504" width="11.42578125" style="44" hidden="1"/>
    <col min="10505" max="10505" width="10.42578125" style="44" hidden="1"/>
    <col min="10506" max="10506" width="10.7109375" style="44" hidden="1"/>
    <col min="10507" max="10507" width="10.42578125" style="44" hidden="1"/>
    <col min="10508" max="10508" width="8.140625" style="44" hidden="1"/>
    <col min="10509" max="10509" width="6.85546875" style="44" hidden="1"/>
    <col min="10510" max="10510" width="1.28515625" style="44" hidden="1"/>
    <col min="10511" max="10752" width="9.140625" style="44" hidden="1"/>
    <col min="10753" max="10753" width="1.7109375" style="44" hidden="1"/>
    <col min="10754" max="10754" width="14.7109375" style="44" hidden="1"/>
    <col min="10755" max="10755" width="11" style="44" hidden="1"/>
    <col min="10756" max="10756" width="10.7109375" style="44" hidden="1"/>
    <col min="10757" max="10757" width="11.140625" style="44" hidden="1"/>
    <col min="10758" max="10758" width="11.85546875" style="44" hidden="1"/>
    <col min="10759" max="10759" width="11.7109375" style="44" hidden="1"/>
    <col min="10760" max="10760" width="11.42578125" style="44" hidden="1"/>
    <col min="10761" max="10761" width="10.42578125" style="44" hidden="1"/>
    <col min="10762" max="10762" width="10.7109375" style="44" hidden="1"/>
    <col min="10763" max="10763" width="10.42578125" style="44" hidden="1"/>
    <col min="10764" max="10764" width="8.140625" style="44" hidden="1"/>
    <col min="10765" max="10765" width="6.85546875" style="44" hidden="1"/>
    <col min="10766" max="10766" width="1.28515625" style="44" hidden="1"/>
    <col min="10767" max="11008" width="9.140625" style="44" hidden="1"/>
    <col min="11009" max="11009" width="1.7109375" style="44" hidden="1"/>
    <col min="11010" max="11010" width="14.7109375" style="44" hidden="1"/>
    <col min="11011" max="11011" width="11" style="44" hidden="1"/>
    <col min="11012" max="11012" width="10.7109375" style="44" hidden="1"/>
    <col min="11013" max="11013" width="11.140625" style="44" hidden="1"/>
    <col min="11014" max="11014" width="11.85546875" style="44" hidden="1"/>
    <col min="11015" max="11015" width="11.7109375" style="44" hidden="1"/>
    <col min="11016" max="11016" width="11.42578125" style="44" hidden="1"/>
    <col min="11017" max="11017" width="10.42578125" style="44" hidden="1"/>
    <col min="11018" max="11018" width="10.7109375" style="44" hidden="1"/>
    <col min="11019" max="11019" width="10.42578125" style="44" hidden="1"/>
    <col min="11020" max="11020" width="8.140625" style="44" hidden="1"/>
    <col min="11021" max="11021" width="6.85546875" style="44" hidden="1"/>
    <col min="11022" max="11022" width="1.28515625" style="44" hidden="1"/>
    <col min="11023" max="11264" width="9.140625" style="44" hidden="1"/>
    <col min="11265" max="11265" width="1.7109375" style="44" hidden="1"/>
    <col min="11266" max="11266" width="14.7109375" style="44" hidden="1"/>
    <col min="11267" max="11267" width="11" style="44" hidden="1"/>
    <col min="11268" max="11268" width="10.7109375" style="44" hidden="1"/>
    <col min="11269" max="11269" width="11.140625" style="44" hidden="1"/>
    <col min="11270" max="11270" width="11.85546875" style="44" hidden="1"/>
    <col min="11271" max="11271" width="11.7109375" style="44" hidden="1"/>
    <col min="11272" max="11272" width="11.42578125" style="44" hidden="1"/>
    <col min="11273" max="11273" width="10.42578125" style="44" hidden="1"/>
    <col min="11274" max="11274" width="10.7109375" style="44" hidden="1"/>
    <col min="11275" max="11275" width="10.42578125" style="44" hidden="1"/>
    <col min="11276" max="11276" width="8.140625" style="44" hidden="1"/>
    <col min="11277" max="11277" width="6.85546875" style="44" hidden="1"/>
    <col min="11278" max="11278" width="1.28515625" style="44" hidden="1"/>
    <col min="11279" max="11520" width="9.140625" style="44" hidden="1"/>
    <col min="11521" max="11521" width="1.7109375" style="44" hidden="1"/>
    <col min="11522" max="11522" width="14.7109375" style="44" hidden="1"/>
    <col min="11523" max="11523" width="11" style="44" hidden="1"/>
    <col min="11524" max="11524" width="10.7109375" style="44" hidden="1"/>
    <col min="11525" max="11525" width="11.140625" style="44" hidden="1"/>
    <col min="11526" max="11526" width="11.85546875" style="44" hidden="1"/>
    <col min="11527" max="11527" width="11.7109375" style="44" hidden="1"/>
    <col min="11528" max="11528" width="11.42578125" style="44" hidden="1"/>
    <col min="11529" max="11529" width="10.42578125" style="44" hidden="1"/>
    <col min="11530" max="11530" width="10.7109375" style="44" hidden="1"/>
    <col min="11531" max="11531" width="10.42578125" style="44" hidden="1"/>
    <col min="11532" max="11532" width="8.140625" style="44" hidden="1"/>
    <col min="11533" max="11533" width="6.85546875" style="44" hidden="1"/>
    <col min="11534" max="11534" width="1.28515625" style="44" hidden="1"/>
    <col min="11535" max="11776" width="9.140625" style="44" hidden="1"/>
    <col min="11777" max="11777" width="1.7109375" style="44" hidden="1"/>
    <col min="11778" max="11778" width="14.7109375" style="44" hidden="1"/>
    <col min="11779" max="11779" width="11" style="44" hidden="1"/>
    <col min="11780" max="11780" width="10.7109375" style="44" hidden="1"/>
    <col min="11781" max="11781" width="11.140625" style="44" hidden="1"/>
    <col min="11782" max="11782" width="11.85546875" style="44" hidden="1"/>
    <col min="11783" max="11783" width="11.7109375" style="44" hidden="1"/>
    <col min="11784" max="11784" width="11.42578125" style="44" hidden="1"/>
    <col min="11785" max="11785" width="10.42578125" style="44" hidden="1"/>
    <col min="11786" max="11786" width="10.7109375" style="44" hidden="1"/>
    <col min="11787" max="11787" width="10.42578125" style="44" hidden="1"/>
    <col min="11788" max="11788" width="8.140625" style="44" hidden="1"/>
    <col min="11789" max="11789" width="6.85546875" style="44" hidden="1"/>
    <col min="11790" max="11790" width="1.28515625" style="44" hidden="1"/>
    <col min="11791" max="12032" width="9.140625" style="44" hidden="1"/>
    <col min="12033" max="12033" width="1.7109375" style="44" hidden="1"/>
    <col min="12034" max="12034" width="14.7109375" style="44" hidden="1"/>
    <col min="12035" max="12035" width="11" style="44" hidden="1"/>
    <col min="12036" max="12036" width="10.7109375" style="44" hidden="1"/>
    <col min="12037" max="12037" width="11.140625" style="44" hidden="1"/>
    <col min="12038" max="12038" width="11.85546875" style="44" hidden="1"/>
    <col min="12039" max="12039" width="11.7109375" style="44" hidden="1"/>
    <col min="12040" max="12040" width="11.42578125" style="44" hidden="1"/>
    <col min="12041" max="12041" width="10.42578125" style="44" hidden="1"/>
    <col min="12042" max="12042" width="10.7109375" style="44" hidden="1"/>
    <col min="12043" max="12043" width="10.42578125" style="44" hidden="1"/>
    <col min="12044" max="12044" width="8.140625" style="44" hidden="1"/>
    <col min="12045" max="12045" width="6.85546875" style="44" hidden="1"/>
    <col min="12046" max="12046" width="1.28515625" style="44" hidden="1"/>
    <col min="12047" max="12288" width="9.140625" style="44" hidden="1"/>
    <col min="12289" max="12289" width="1.7109375" style="44" hidden="1"/>
    <col min="12290" max="12290" width="14.7109375" style="44" hidden="1"/>
    <col min="12291" max="12291" width="11" style="44" hidden="1"/>
    <col min="12292" max="12292" width="10.7109375" style="44" hidden="1"/>
    <col min="12293" max="12293" width="11.140625" style="44" hidden="1"/>
    <col min="12294" max="12294" width="11.85546875" style="44" hidden="1"/>
    <col min="12295" max="12295" width="11.7109375" style="44" hidden="1"/>
    <col min="12296" max="12296" width="11.42578125" style="44" hidden="1"/>
    <col min="12297" max="12297" width="10.42578125" style="44" hidden="1"/>
    <col min="12298" max="12298" width="10.7109375" style="44" hidden="1"/>
    <col min="12299" max="12299" width="10.42578125" style="44" hidden="1"/>
    <col min="12300" max="12300" width="8.140625" style="44" hidden="1"/>
    <col min="12301" max="12301" width="6.85546875" style="44" hidden="1"/>
    <col min="12302" max="12302" width="1.28515625" style="44" hidden="1"/>
    <col min="12303" max="12544" width="9.140625" style="44" hidden="1"/>
    <col min="12545" max="12545" width="1.7109375" style="44" hidden="1"/>
    <col min="12546" max="12546" width="14.7109375" style="44" hidden="1"/>
    <col min="12547" max="12547" width="11" style="44" hidden="1"/>
    <col min="12548" max="12548" width="10.7109375" style="44" hidden="1"/>
    <col min="12549" max="12549" width="11.140625" style="44" hidden="1"/>
    <col min="12550" max="12550" width="11.85546875" style="44" hidden="1"/>
    <col min="12551" max="12551" width="11.7109375" style="44" hidden="1"/>
    <col min="12552" max="12552" width="11.42578125" style="44" hidden="1"/>
    <col min="12553" max="12553" width="10.42578125" style="44" hidden="1"/>
    <col min="12554" max="12554" width="10.7109375" style="44" hidden="1"/>
    <col min="12555" max="12555" width="10.42578125" style="44" hidden="1"/>
    <col min="12556" max="12556" width="8.140625" style="44" hidden="1"/>
    <col min="12557" max="12557" width="6.85546875" style="44" hidden="1"/>
    <col min="12558" max="12558" width="1.28515625" style="44" hidden="1"/>
    <col min="12559" max="12800" width="9.140625" style="44" hidden="1"/>
    <col min="12801" max="12801" width="1.7109375" style="44" hidden="1"/>
    <col min="12802" max="12802" width="14.7109375" style="44" hidden="1"/>
    <col min="12803" max="12803" width="11" style="44" hidden="1"/>
    <col min="12804" max="12804" width="10.7109375" style="44" hidden="1"/>
    <col min="12805" max="12805" width="11.140625" style="44" hidden="1"/>
    <col min="12806" max="12806" width="11.85546875" style="44" hidden="1"/>
    <col min="12807" max="12807" width="11.7109375" style="44" hidden="1"/>
    <col min="12808" max="12808" width="11.42578125" style="44" hidden="1"/>
    <col min="12809" max="12809" width="10.42578125" style="44" hidden="1"/>
    <col min="12810" max="12810" width="10.7109375" style="44" hidden="1"/>
    <col min="12811" max="12811" width="10.42578125" style="44" hidden="1"/>
    <col min="12812" max="12812" width="8.140625" style="44" hidden="1"/>
    <col min="12813" max="12813" width="6.85546875" style="44" hidden="1"/>
    <col min="12814" max="12814" width="1.28515625" style="44" hidden="1"/>
    <col min="12815" max="13056" width="9.140625" style="44" hidden="1"/>
    <col min="13057" max="13057" width="1.7109375" style="44" hidden="1"/>
    <col min="13058" max="13058" width="14.7109375" style="44" hidden="1"/>
    <col min="13059" max="13059" width="11" style="44" hidden="1"/>
    <col min="13060" max="13060" width="10.7109375" style="44" hidden="1"/>
    <col min="13061" max="13061" width="11.140625" style="44" hidden="1"/>
    <col min="13062" max="13062" width="11.85546875" style="44" hidden="1"/>
    <col min="13063" max="13063" width="11.7109375" style="44" hidden="1"/>
    <col min="13064" max="13064" width="11.42578125" style="44" hidden="1"/>
    <col min="13065" max="13065" width="10.42578125" style="44" hidden="1"/>
    <col min="13066" max="13066" width="10.7109375" style="44" hidden="1"/>
    <col min="13067" max="13067" width="10.42578125" style="44" hidden="1"/>
    <col min="13068" max="13068" width="8.140625" style="44" hidden="1"/>
    <col min="13069" max="13069" width="6.85546875" style="44" hidden="1"/>
    <col min="13070" max="13070" width="1.28515625" style="44" hidden="1"/>
    <col min="13071" max="13312" width="9.140625" style="44" hidden="1"/>
    <col min="13313" max="13313" width="1.7109375" style="44" hidden="1"/>
    <col min="13314" max="13314" width="14.7109375" style="44" hidden="1"/>
    <col min="13315" max="13315" width="11" style="44" hidden="1"/>
    <col min="13316" max="13316" width="10.7109375" style="44" hidden="1"/>
    <col min="13317" max="13317" width="11.140625" style="44" hidden="1"/>
    <col min="13318" max="13318" width="11.85546875" style="44" hidden="1"/>
    <col min="13319" max="13319" width="11.7109375" style="44" hidden="1"/>
    <col min="13320" max="13320" width="11.42578125" style="44" hidden="1"/>
    <col min="13321" max="13321" width="10.42578125" style="44" hidden="1"/>
    <col min="13322" max="13322" width="10.7109375" style="44" hidden="1"/>
    <col min="13323" max="13323" width="10.42578125" style="44" hidden="1"/>
    <col min="13324" max="13324" width="8.140625" style="44" hidden="1"/>
    <col min="13325" max="13325" width="6.85546875" style="44" hidden="1"/>
    <col min="13326" max="13326" width="1.28515625" style="44" hidden="1"/>
    <col min="13327" max="13568" width="9.140625" style="44" hidden="1"/>
    <col min="13569" max="13569" width="1.7109375" style="44" hidden="1"/>
    <col min="13570" max="13570" width="14.7109375" style="44" hidden="1"/>
    <col min="13571" max="13571" width="11" style="44" hidden="1"/>
    <col min="13572" max="13572" width="10.7109375" style="44" hidden="1"/>
    <col min="13573" max="13573" width="11.140625" style="44" hidden="1"/>
    <col min="13574" max="13574" width="11.85546875" style="44" hidden="1"/>
    <col min="13575" max="13575" width="11.7109375" style="44" hidden="1"/>
    <col min="13576" max="13576" width="11.42578125" style="44" hidden="1"/>
    <col min="13577" max="13577" width="10.42578125" style="44" hidden="1"/>
    <col min="13578" max="13578" width="10.7109375" style="44" hidden="1"/>
    <col min="13579" max="13579" width="10.42578125" style="44" hidden="1"/>
    <col min="13580" max="13580" width="8.140625" style="44" hidden="1"/>
    <col min="13581" max="13581" width="6.85546875" style="44" hidden="1"/>
    <col min="13582" max="13582" width="1.28515625" style="44" hidden="1"/>
    <col min="13583" max="13824" width="9.140625" style="44" hidden="1"/>
    <col min="13825" max="13825" width="1.7109375" style="44" hidden="1"/>
    <col min="13826" max="13826" width="14.7109375" style="44" hidden="1"/>
    <col min="13827" max="13827" width="11" style="44" hidden="1"/>
    <col min="13828" max="13828" width="10.7109375" style="44" hidden="1"/>
    <col min="13829" max="13829" width="11.140625" style="44" hidden="1"/>
    <col min="13830" max="13830" width="11.85546875" style="44" hidden="1"/>
    <col min="13831" max="13831" width="11.7109375" style="44" hidden="1"/>
    <col min="13832" max="13832" width="11.42578125" style="44" hidden="1"/>
    <col min="13833" max="13833" width="10.42578125" style="44" hidden="1"/>
    <col min="13834" max="13834" width="10.7109375" style="44" hidden="1"/>
    <col min="13835" max="13835" width="10.42578125" style="44" hidden="1"/>
    <col min="13836" max="13836" width="8.140625" style="44" hidden="1"/>
    <col min="13837" max="13837" width="6.85546875" style="44" hidden="1"/>
    <col min="13838" max="13838" width="1.28515625" style="44" hidden="1"/>
    <col min="13839" max="14080" width="9.140625" style="44" hidden="1"/>
    <col min="14081" max="14081" width="1.7109375" style="44" hidden="1"/>
    <col min="14082" max="14082" width="14.7109375" style="44" hidden="1"/>
    <col min="14083" max="14083" width="11" style="44" hidden="1"/>
    <col min="14084" max="14084" width="10.7109375" style="44" hidden="1"/>
    <col min="14085" max="14085" width="11.140625" style="44" hidden="1"/>
    <col min="14086" max="14086" width="11.85546875" style="44" hidden="1"/>
    <col min="14087" max="14087" width="11.7109375" style="44" hidden="1"/>
    <col min="14088" max="14088" width="11.42578125" style="44" hidden="1"/>
    <col min="14089" max="14089" width="10.42578125" style="44" hidden="1"/>
    <col min="14090" max="14090" width="10.7109375" style="44" hidden="1"/>
    <col min="14091" max="14091" width="10.42578125" style="44" hidden="1"/>
    <col min="14092" max="14092" width="8.140625" style="44" hidden="1"/>
    <col min="14093" max="14093" width="6.85546875" style="44" hidden="1"/>
    <col min="14094" max="14094" width="1.28515625" style="44" hidden="1"/>
    <col min="14095" max="14336" width="9.140625" style="44" hidden="1"/>
    <col min="14337" max="14337" width="1.7109375" style="44" hidden="1"/>
    <col min="14338" max="14338" width="14.7109375" style="44" hidden="1"/>
    <col min="14339" max="14339" width="11" style="44" hidden="1"/>
    <col min="14340" max="14340" width="10.7109375" style="44" hidden="1"/>
    <col min="14341" max="14341" width="11.140625" style="44" hidden="1"/>
    <col min="14342" max="14342" width="11.85546875" style="44" hidden="1"/>
    <col min="14343" max="14343" width="11.7109375" style="44" hidden="1"/>
    <col min="14344" max="14344" width="11.42578125" style="44" hidden="1"/>
    <col min="14345" max="14345" width="10.42578125" style="44" hidden="1"/>
    <col min="14346" max="14346" width="10.7109375" style="44" hidden="1"/>
    <col min="14347" max="14347" width="10.42578125" style="44" hidden="1"/>
    <col min="14348" max="14348" width="8.140625" style="44" hidden="1"/>
    <col min="14349" max="14349" width="6.85546875" style="44" hidden="1"/>
    <col min="14350" max="14350" width="1.28515625" style="44" hidden="1"/>
    <col min="14351" max="14592" width="9.140625" style="44" hidden="1"/>
    <col min="14593" max="14593" width="1.7109375" style="44" hidden="1"/>
    <col min="14594" max="14594" width="14.7109375" style="44" hidden="1"/>
    <col min="14595" max="14595" width="11" style="44" hidden="1"/>
    <col min="14596" max="14596" width="10.7109375" style="44" hidden="1"/>
    <col min="14597" max="14597" width="11.140625" style="44" hidden="1"/>
    <col min="14598" max="14598" width="11.85546875" style="44" hidden="1"/>
    <col min="14599" max="14599" width="11.7109375" style="44" hidden="1"/>
    <col min="14600" max="14600" width="11.42578125" style="44" hidden="1"/>
    <col min="14601" max="14601" width="10.42578125" style="44" hidden="1"/>
    <col min="14602" max="14602" width="10.7109375" style="44" hidden="1"/>
    <col min="14603" max="14603" width="10.42578125" style="44" hidden="1"/>
    <col min="14604" max="14604" width="8.140625" style="44" hidden="1"/>
    <col min="14605" max="14605" width="6.85546875" style="44" hidden="1"/>
    <col min="14606" max="14606" width="1.28515625" style="44" hidden="1"/>
    <col min="14607" max="14848" width="9.140625" style="44" hidden="1"/>
    <col min="14849" max="14849" width="1.7109375" style="44" hidden="1"/>
    <col min="14850" max="14850" width="14.7109375" style="44" hidden="1"/>
    <col min="14851" max="14851" width="11" style="44" hidden="1"/>
    <col min="14852" max="14852" width="10.7109375" style="44" hidden="1"/>
    <col min="14853" max="14853" width="11.140625" style="44" hidden="1"/>
    <col min="14854" max="14854" width="11.85546875" style="44" hidden="1"/>
    <col min="14855" max="14855" width="11.7109375" style="44" hidden="1"/>
    <col min="14856" max="14856" width="11.42578125" style="44" hidden="1"/>
    <col min="14857" max="14857" width="10.42578125" style="44" hidden="1"/>
    <col min="14858" max="14858" width="10.7109375" style="44" hidden="1"/>
    <col min="14859" max="14859" width="10.42578125" style="44" hidden="1"/>
    <col min="14860" max="14860" width="8.140625" style="44" hidden="1"/>
    <col min="14861" max="14861" width="6.85546875" style="44" hidden="1"/>
    <col min="14862" max="14862" width="1.28515625" style="44" hidden="1"/>
    <col min="14863" max="15104" width="9.140625" style="44" hidden="1"/>
    <col min="15105" max="15105" width="1.7109375" style="44" hidden="1"/>
    <col min="15106" max="15106" width="14.7109375" style="44" hidden="1"/>
    <col min="15107" max="15107" width="11" style="44" hidden="1"/>
    <col min="15108" max="15108" width="10.7109375" style="44" hidden="1"/>
    <col min="15109" max="15109" width="11.140625" style="44" hidden="1"/>
    <col min="15110" max="15110" width="11.85546875" style="44" hidden="1"/>
    <col min="15111" max="15111" width="11.7109375" style="44" hidden="1"/>
    <col min="15112" max="15112" width="11.42578125" style="44" hidden="1"/>
    <col min="15113" max="15113" width="10.42578125" style="44" hidden="1"/>
    <col min="15114" max="15114" width="10.7109375" style="44" hidden="1"/>
    <col min="15115" max="15115" width="10.42578125" style="44" hidden="1"/>
    <col min="15116" max="15116" width="8.140625" style="44" hidden="1"/>
    <col min="15117" max="15117" width="6.85546875" style="44" hidden="1"/>
    <col min="15118" max="15118" width="1.28515625" style="44" hidden="1"/>
    <col min="15119" max="15360" width="9.140625" style="44" hidden="1"/>
    <col min="15361" max="15361" width="1.7109375" style="44" hidden="1"/>
    <col min="15362" max="15362" width="14.7109375" style="44" hidden="1"/>
    <col min="15363" max="15363" width="11" style="44" hidden="1"/>
    <col min="15364" max="15364" width="10.7109375" style="44" hidden="1"/>
    <col min="15365" max="15365" width="11.140625" style="44" hidden="1"/>
    <col min="15366" max="15366" width="11.85546875" style="44" hidden="1"/>
    <col min="15367" max="15367" width="11.7109375" style="44" hidden="1"/>
    <col min="15368" max="15368" width="11.42578125" style="44" hidden="1"/>
    <col min="15369" max="15369" width="10.42578125" style="44" hidden="1"/>
    <col min="15370" max="15370" width="10.7109375" style="44" hidden="1"/>
    <col min="15371" max="15371" width="10.42578125" style="44" hidden="1"/>
    <col min="15372" max="15372" width="8.140625" style="44" hidden="1"/>
    <col min="15373" max="15373" width="6.85546875" style="44" hidden="1"/>
    <col min="15374" max="15374" width="1.28515625" style="44" hidden="1"/>
    <col min="15375" max="15616" width="9.140625" style="44" hidden="1"/>
    <col min="15617" max="15617" width="1.7109375" style="44" hidden="1"/>
    <col min="15618" max="15618" width="14.7109375" style="44" hidden="1"/>
    <col min="15619" max="15619" width="11" style="44" hidden="1"/>
    <col min="15620" max="15620" width="10.7109375" style="44" hidden="1"/>
    <col min="15621" max="15621" width="11.140625" style="44" hidden="1"/>
    <col min="15622" max="15622" width="11.85546875" style="44" hidden="1"/>
    <col min="15623" max="15623" width="11.7109375" style="44" hidden="1"/>
    <col min="15624" max="15624" width="11.42578125" style="44" hidden="1"/>
    <col min="15625" max="15625" width="10.42578125" style="44" hidden="1"/>
    <col min="15626" max="15626" width="10.7109375" style="44" hidden="1"/>
    <col min="15627" max="15627" width="10.42578125" style="44" hidden="1"/>
    <col min="15628" max="15628" width="8.140625" style="44" hidden="1"/>
    <col min="15629" max="15629" width="6.85546875" style="44" hidden="1"/>
    <col min="15630" max="15630" width="1.28515625" style="44" hidden="1"/>
    <col min="15631" max="15872" width="9.140625" style="44" hidden="1"/>
    <col min="15873" max="15873" width="1.7109375" style="44" hidden="1"/>
    <col min="15874" max="15874" width="14.7109375" style="44" hidden="1"/>
    <col min="15875" max="15875" width="11" style="44" hidden="1"/>
    <col min="15876" max="15876" width="10.7109375" style="44" hidden="1"/>
    <col min="15877" max="15877" width="11.140625" style="44" hidden="1"/>
    <col min="15878" max="15878" width="11.85546875" style="44" hidden="1"/>
    <col min="15879" max="15879" width="11.7109375" style="44" hidden="1"/>
    <col min="15880" max="15880" width="11.42578125" style="44" hidden="1"/>
    <col min="15881" max="15881" width="10.42578125" style="44" hidden="1"/>
    <col min="15882" max="15882" width="10.7109375" style="44" hidden="1"/>
    <col min="15883" max="15883" width="10.42578125" style="44" hidden="1"/>
    <col min="15884" max="15884" width="8.140625" style="44" hidden="1"/>
    <col min="15885" max="15885" width="6.85546875" style="44" hidden="1"/>
    <col min="15886" max="15886" width="1.28515625" style="44" hidden="1"/>
    <col min="15887" max="16128" width="9.140625" style="44" hidden="1"/>
    <col min="16129" max="16129" width="1.7109375" style="44" hidden="1"/>
    <col min="16130" max="16130" width="14.7109375" style="44" hidden="1"/>
    <col min="16131" max="16131" width="11" style="44" hidden="1"/>
    <col min="16132" max="16132" width="10.7109375" style="44" hidden="1"/>
    <col min="16133" max="16133" width="11.140625" style="44" hidden="1"/>
    <col min="16134" max="16134" width="11.85546875" style="44" hidden="1"/>
    <col min="16135" max="16135" width="11.7109375" style="44" hidden="1"/>
    <col min="16136" max="16136" width="11.42578125" style="44" hidden="1"/>
    <col min="16137" max="16137" width="10.42578125" style="44" hidden="1"/>
    <col min="16138" max="16138" width="10.7109375" style="44" hidden="1"/>
    <col min="16139" max="16139" width="10.42578125" style="44" hidden="1"/>
    <col min="16140" max="16140" width="8.140625" style="44" hidden="1"/>
    <col min="16141" max="16141" width="6.85546875" style="44" hidden="1"/>
    <col min="16142" max="16142" width="1.28515625" style="44" hidden="1"/>
    <col min="16143" max="16384" width="9.140625" style="44" hidden="1"/>
  </cols>
  <sheetData>
    <row r="1" spans="2:35" x14ac:dyDescent="0.25">
      <c r="B1" s="42"/>
      <c r="C1" s="159" t="s">
        <v>103</v>
      </c>
      <c r="D1" s="159"/>
      <c r="E1" s="159"/>
      <c r="F1" s="159"/>
      <c r="G1" s="160"/>
      <c r="H1" s="41"/>
      <c r="I1" s="41"/>
      <c r="J1" s="42"/>
      <c r="K1" s="42"/>
      <c r="L1" s="43" t="s">
        <v>104</v>
      </c>
      <c r="M1" s="155"/>
      <c r="N1" s="155"/>
      <c r="O1" s="156"/>
      <c r="P1" s="156"/>
      <c r="Q1" s="42"/>
    </row>
    <row r="2" spans="2:35" ht="13.5" customHeight="1" x14ac:dyDescent="0.25">
      <c r="B2" s="42"/>
      <c r="C2" s="161"/>
      <c r="D2" s="161"/>
      <c r="E2" s="161"/>
      <c r="F2" s="161"/>
      <c r="G2" s="162"/>
      <c r="H2" s="42"/>
      <c r="I2" s="42"/>
      <c r="J2" s="42"/>
      <c r="K2" s="42"/>
      <c r="L2" s="43" t="s">
        <v>105</v>
      </c>
      <c r="M2" s="157"/>
      <c r="N2" s="157"/>
      <c r="O2" s="156"/>
      <c r="P2" s="156"/>
      <c r="Q2" s="42"/>
    </row>
    <row r="3" spans="2:35" ht="12" customHeight="1" x14ac:dyDescent="0.25">
      <c r="B3" s="42"/>
      <c r="C3" s="72"/>
      <c r="D3" s="45"/>
      <c r="E3" s="45"/>
      <c r="F3" s="45"/>
      <c r="G3" s="45"/>
      <c r="H3" s="42"/>
      <c r="I3" s="42"/>
      <c r="J3" s="42"/>
      <c r="K3" s="43"/>
      <c r="L3" s="46"/>
      <c r="M3" s="46"/>
      <c r="N3" s="46"/>
      <c r="O3" s="42"/>
      <c r="P3" s="42"/>
      <c r="Q3" s="42"/>
    </row>
    <row r="4" spans="2:35" ht="5.0999999999999996" customHeight="1" x14ac:dyDescent="0.25">
      <c r="B4" s="42"/>
      <c r="C4" s="158" t="s">
        <v>11</v>
      </c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</row>
    <row r="5" spans="2:35" s="49" customFormat="1" ht="12.95" customHeight="1" x14ac:dyDescent="0.25">
      <c r="B5" s="48"/>
      <c r="C5" s="158"/>
      <c r="D5" s="47">
        <v>0.29166666666666669</v>
      </c>
      <c r="E5" s="47">
        <v>0.33333333333333298</v>
      </c>
      <c r="F5" s="47">
        <v>0.375</v>
      </c>
      <c r="G5" s="47">
        <v>0.41666666666666702</v>
      </c>
      <c r="H5" s="47">
        <v>0.45833333333333298</v>
      </c>
      <c r="I5" s="47">
        <v>0.5</v>
      </c>
      <c r="J5" s="47">
        <v>0.54166666666666696</v>
      </c>
      <c r="K5" s="47">
        <v>0.58333333333333304</v>
      </c>
      <c r="L5" s="47">
        <v>0.625</v>
      </c>
      <c r="M5" s="47">
        <v>0.66666666666666696</v>
      </c>
      <c r="N5" s="47">
        <v>0.70833333333333304</v>
      </c>
      <c r="O5" s="47">
        <v>0.75</v>
      </c>
      <c r="P5" s="47">
        <v>0.79166666666666696</v>
      </c>
      <c r="Q5" s="48"/>
      <c r="AI5" s="49" t="s">
        <v>110</v>
      </c>
    </row>
    <row r="6" spans="2:35" s="49" customFormat="1" ht="12.95" customHeight="1" x14ac:dyDescent="0.25">
      <c r="B6" s="48" t="str">
        <f>'Staff Payment'!A4</f>
        <v>Singh</v>
      </c>
      <c r="C6" s="73" t="str">
        <f>'Staff Payment'!B4</f>
        <v>Kam</v>
      </c>
      <c r="D6" s="288" t="s">
        <v>109</v>
      </c>
      <c r="E6" s="288" t="s">
        <v>109</v>
      </c>
      <c r="F6" s="288" t="s">
        <v>109</v>
      </c>
      <c r="G6" s="288" t="s">
        <v>109</v>
      </c>
      <c r="H6" s="288" t="s">
        <v>109</v>
      </c>
      <c r="I6" s="288" t="s">
        <v>109</v>
      </c>
      <c r="J6" s="288" t="s">
        <v>109</v>
      </c>
      <c r="K6" s="288" t="s">
        <v>109</v>
      </c>
      <c r="L6" s="288" t="s">
        <v>109</v>
      </c>
      <c r="M6" s="288" t="s">
        <v>109</v>
      </c>
      <c r="N6" s="288" t="s">
        <v>109</v>
      </c>
      <c r="O6" s="288" t="s">
        <v>109</v>
      </c>
      <c r="P6" s="288" t="s">
        <v>109</v>
      </c>
      <c r="Q6" s="289"/>
      <c r="AI6" s="49" t="s">
        <v>109</v>
      </c>
    </row>
    <row r="7" spans="2:35" s="49" customFormat="1" ht="12.95" customHeight="1" x14ac:dyDescent="0.25">
      <c r="B7" s="48" t="str">
        <f>'Staff Payment'!A5</f>
        <v>Saleem</v>
      </c>
      <c r="C7" s="73" t="str">
        <f>'Staff Payment'!B5</f>
        <v>Nada</v>
      </c>
      <c r="D7" s="288" t="s">
        <v>108</v>
      </c>
      <c r="E7" s="288" t="s">
        <v>18</v>
      </c>
      <c r="F7" s="288" t="s">
        <v>18</v>
      </c>
      <c r="G7" s="288" t="s">
        <v>18</v>
      </c>
      <c r="H7" s="288" t="s">
        <v>18</v>
      </c>
      <c r="I7" s="288" t="s">
        <v>18</v>
      </c>
      <c r="J7" s="288" t="s">
        <v>18</v>
      </c>
      <c r="K7" s="288" t="s">
        <v>18</v>
      </c>
      <c r="L7" s="288" t="s">
        <v>108</v>
      </c>
      <c r="M7" s="288" t="s">
        <v>18</v>
      </c>
      <c r="N7" s="288" t="s">
        <v>18</v>
      </c>
      <c r="O7" s="288" t="s">
        <v>18</v>
      </c>
      <c r="P7" s="288" t="s">
        <v>18</v>
      </c>
      <c r="Q7" s="289"/>
      <c r="AI7" s="49" t="s">
        <v>108</v>
      </c>
    </row>
    <row r="8" spans="2:35" s="49" customFormat="1" ht="12.95" customHeight="1" x14ac:dyDescent="0.25">
      <c r="B8" s="48" t="str">
        <f>'Staff Payment'!A6</f>
        <v>Halls</v>
      </c>
      <c r="C8" s="73" t="str">
        <f>'Staff Payment'!B6</f>
        <v>Mark</v>
      </c>
      <c r="D8" s="288" t="s">
        <v>107</v>
      </c>
      <c r="E8" s="288" t="s">
        <v>107</v>
      </c>
      <c r="F8" s="288" t="s">
        <v>107</v>
      </c>
      <c r="G8" s="288" t="s">
        <v>107</v>
      </c>
      <c r="H8" s="288" t="s">
        <v>107</v>
      </c>
      <c r="I8" s="288" t="s">
        <v>107</v>
      </c>
      <c r="J8" s="288" t="s">
        <v>107</v>
      </c>
      <c r="K8" s="288" t="s">
        <v>107</v>
      </c>
      <c r="L8" s="288" t="s">
        <v>107</v>
      </c>
      <c r="M8" s="288" t="s">
        <v>107</v>
      </c>
      <c r="N8" s="288" t="s">
        <v>107</v>
      </c>
      <c r="O8" s="288" t="s">
        <v>107</v>
      </c>
      <c r="P8" s="288" t="s">
        <v>107</v>
      </c>
      <c r="Q8" s="289"/>
      <c r="AI8" s="49" t="s">
        <v>106</v>
      </c>
    </row>
    <row r="9" spans="2:35" s="49" customFormat="1" ht="12.95" customHeight="1" x14ac:dyDescent="0.25">
      <c r="B9" s="48">
        <f>'Staff Payment'!A7</f>
        <v>0</v>
      </c>
      <c r="C9" s="73">
        <f>'Staff Payment'!B7</f>
        <v>0</v>
      </c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9"/>
      <c r="AI9" s="49" t="s">
        <v>107</v>
      </c>
    </row>
    <row r="10" spans="2:35" s="49" customFormat="1" ht="12.95" customHeight="1" x14ac:dyDescent="0.25">
      <c r="B10" s="48">
        <f>'Staff Payment'!A8</f>
        <v>0</v>
      </c>
      <c r="C10" s="73">
        <f>'Staff Payment'!B8</f>
        <v>0</v>
      </c>
      <c r="D10" s="288" t="s">
        <v>109</v>
      </c>
      <c r="E10" s="288"/>
      <c r="F10" s="288"/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9"/>
      <c r="AI10" s="32" t="s">
        <v>18</v>
      </c>
    </row>
    <row r="11" spans="2:35" s="49" customFormat="1" ht="12.95" customHeight="1" x14ac:dyDescent="0.25">
      <c r="B11" s="48">
        <f>'Staff Payment'!A9</f>
        <v>0</v>
      </c>
      <c r="C11" s="73">
        <f>'Staff Payment'!B9</f>
        <v>0</v>
      </c>
      <c r="D11" s="288"/>
      <c r="E11" s="288"/>
      <c r="F11" s="288"/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9"/>
    </row>
    <row r="12" spans="2:35" s="49" customFormat="1" ht="12.75" customHeight="1" x14ac:dyDescent="0.25">
      <c r="B12" s="48">
        <f>'Staff Payment'!A10</f>
        <v>0</v>
      </c>
      <c r="C12" s="73">
        <f>'Staff Payment'!B10</f>
        <v>0</v>
      </c>
      <c r="D12" s="288"/>
      <c r="E12" s="288"/>
      <c r="F12" s="288"/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9"/>
    </row>
    <row r="13" spans="2:35" s="49" customFormat="1" ht="12.75" customHeight="1" x14ac:dyDescent="0.25">
      <c r="B13" s="48">
        <f>'Staff Payment'!A11</f>
        <v>0</v>
      </c>
      <c r="C13" s="73">
        <f>'Staff Payment'!B11</f>
        <v>0</v>
      </c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288"/>
      <c r="O13" s="288"/>
      <c r="P13" s="288"/>
      <c r="Q13" s="289"/>
    </row>
    <row r="14" spans="2:35" s="49" customFormat="1" ht="12.95" customHeight="1" x14ac:dyDescent="0.25">
      <c r="B14" s="48">
        <f>'Staff Payment'!A12</f>
        <v>0</v>
      </c>
      <c r="C14" s="73">
        <f>'Staff Payment'!B12</f>
        <v>0</v>
      </c>
      <c r="D14" s="288"/>
      <c r="E14" s="288"/>
      <c r="F14" s="288"/>
      <c r="G14" s="288"/>
      <c r="H14" s="288"/>
      <c r="I14" s="288"/>
      <c r="J14" s="288"/>
      <c r="K14" s="288"/>
      <c r="L14" s="288"/>
      <c r="M14" s="288"/>
      <c r="N14" s="288"/>
      <c r="O14" s="288"/>
      <c r="P14" s="288"/>
      <c r="Q14" s="289"/>
    </row>
    <row r="15" spans="2:35" s="49" customFormat="1" ht="12.95" customHeight="1" x14ac:dyDescent="0.25">
      <c r="B15" s="48">
        <f>'Staff Payment'!A13</f>
        <v>0</v>
      </c>
      <c r="C15" s="73">
        <f>'Staff Payment'!B13</f>
        <v>0</v>
      </c>
      <c r="D15" s="288"/>
      <c r="E15" s="288"/>
      <c r="F15" s="288"/>
      <c r="G15" s="288"/>
      <c r="H15" s="288"/>
      <c r="I15" s="288"/>
      <c r="J15" s="288"/>
      <c r="K15" s="288"/>
      <c r="L15" s="288"/>
      <c r="M15" s="288"/>
      <c r="N15" s="288"/>
      <c r="O15" s="288"/>
      <c r="P15" s="288"/>
      <c r="Q15" s="289"/>
    </row>
    <row r="16" spans="2:35" s="49" customFormat="1" ht="5.0999999999999996" customHeight="1" x14ac:dyDescent="0.25">
      <c r="B16" s="48"/>
      <c r="C16" s="158" t="s">
        <v>12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89"/>
      <c r="N16" s="289"/>
      <c r="O16" s="289"/>
      <c r="P16" s="289"/>
      <c r="Q16" s="289"/>
    </row>
    <row r="17" spans="2:17" s="49" customFormat="1" x14ac:dyDescent="0.25">
      <c r="B17" s="48"/>
      <c r="C17" s="158"/>
      <c r="D17" s="290">
        <v>0.29166666666666669</v>
      </c>
      <c r="E17" s="290">
        <v>0.33333333333333298</v>
      </c>
      <c r="F17" s="290">
        <v>0.375</v>
      </c>
      <c r="G17" s="290">
        <v>0.41666666666666702</v>
      </c>
      <c r="H17" s="290">
        <v>0.45833333333333298</v>
      </c>
      <c r="I17" s="290">
        <v>0.5</v>
      </c>
      <c r="J17" s="290">
        <v>0.54166666666666696</v>
      </c>
      <c r="K17" s="290">
        <v>0.58333333333333304</v>
      </c>
      <c r="L17" s="290">
        <v>0.625</v>
      </c>
      <c r="M17" s="290">
        <v>0.66666666666666696</v>
      </c>
      <c r="N17" s="290">
        <v>0.70833333333333304</v>
      </c>
      <c r="O17" s="290">
        <v>0.75</v>
      </c>
      <c r="P17" s="290">
        <v>0.79166666666666696</v>
      </c>
      <c r="Q17" s="289"/>
    </row>
    <row r="18" spans="2:17" s="49" customFormat="1" x14ac:dyDescent="0.25">
      <c r="B18" s="48" t="str">
        <f t="shared" ref="B18:C27" si="0">B6</f>
        <v>Singh</v>
      </c>
      <c r="C18" s="73" t="str">
        <f t="shared" si="0"/>
        <v>Kam</v>
      </c>
      <c r="D18" s="288"/>
      <c r="E18" s="288"/>
      <c r="F18" s="288"/>
      <c r="G18" s="288"/>
      <c r="H18" s="288"/>
      <c r="I18" s="288"/>
      <c r="J18" s="288"/>
      <c r="K18" s="288"/>
      <c r="L18" s="288"/>
      <c r="M18" s="288"/>
      <c r="N18" s="288"/>
      <c r="O18" s="288"/>
      <c r="P18" s="288"/>
      <c r="Q18" s="289"/>
    </row>
    <row r="19" spans="2:17" s="49" customFormat="1" x14ac:dyDescent="0.25">
      <c r="B19" s="48" t="str">
        <f t="shared" si="0"/>
        <v>Saleem</v>
      </c>
      <c r="C19" s="73" t="str">
        <f t="shared" si="0"/>
        <v>Nada</v>
      </c>
      <c r="D19" s="288"/>
      <c r="E19" s="288"/>
      <c r="F19" s="288"/>
      <c r="G19" s="288"/>
      <c r="H19" s="288"/>
      <c r="I19" s="288"/>
      <c r="J19" s="288"/>
      <c r="K19" s="288"/>
      <c r="L19" s="288"/>
      <c r="M19" s="288"/>
      <c r="N19" s="288"/>
      <c r="O19" s="288"/>
      <c r="P19" s="288"/>
      <c r="Q19" s="289"/>
    </row>
    <row r="20" spans="2:17" s="49" customFormat="1" x14ac:dyDescent="0.25">
      <c r="B20" s="48" t="str">
        <f t="shared" si="0"/>
        <v>Halls</v>
      </c>
      <c r="C20" s="73" t="str">
        <f t="shared" si="0"/>
        <v>Mark</v>
      </c>
      <c r="D20" s="288"/>
      <c r="E20" s="288"/>
      <c r="F20" s="288"/>
      <c r="G20" s="288"/>
      <c r="H20" s="288"/>
      <c r="I20" s="288"/>
      <c r="J20" s="288"/>
      <c r="K20" s="288"/>
      <c r="L20" s="288"/>
      <c r="M20" s="288"/>
      <c r="N20" s="288"/>
      <c r="O20" s="288"/>
      <c r="P20" s="288"/>
      <c r="Q20" s="289"/>
    </row>
    <row r="21" spans="2:17" s="49" customFormat="1" x14ac:dyDescent="0.25">
      <c r="B21" s="48">
        <f t="shared" si="0"/>
        <v>0</v>
      </c>
      <c r="C21" s="73">
        <f t="shared" si="0"/>
        <v>0</v>
      </c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9"/>
    </row>
    <row r="22" spans="2:17" s="49" customFormat="1" x14ac:dyDescent="0.25">
      <c r="B22" s="48">
        <f t="shared" si="0"/>
        <v>0</v>
      </c>
      <c r="C22" s="73">
        <f t="shared" si="0"/>
        <v>0</v>
      </c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9"/>
    </row>
    <row r="23" spans="2:17" s="49" customFormat="1" ht="12.95" customHeight="1" x14ac:dyDescent="0.25">
      <c r="B23" s="48">
        <f t="shared" si="0"/>
        <v>0</v>
      </c>
      <c r="C23" s="73">
        <f t="shared" si="0"/>
        <v>0</v>
      </c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9"/>
    </row>
    <row r="24" spans="2:17" s="49" customFormat="1" ht="12.95" customHeight="1" x14ac:dyDescent="0.25">
      <c r="B24" s="48">
        <f t="shared" si="0"/>
        <v>0</v>
      </c>
      <c r="C24" s="73">
        <f t="shared" si="0"/>
        <v>0</v>
      </c>
      <c r="D24" s="288"/>
      <c r="E24" s="288"/>
      <c r="F24" s="288"/>
      <c r="G24" s="288"/>
      <c r="H24" s="288"/>
      <c r="I24" s="288"/>
      <c r="J24" s="288"/>
      <c r="K24" s="288"/>
      <c r="L24" s="288"/>
      <c r="M24" s="288"/>
      <c r="N24" s="288"/>
      <c r="O24" s="288"/>
      <c r="P24" s="288"/>
      <c r="Q24" s="289"/>
    </row>
    <row r="25" spans="2:17" s="49" customFormat="1" ht="12.95" customHeight="1" x14ac:dyDescent="0.25">
      <c r="B25" s="48">
        <f t="shared" si="0"/>
        <v>0</v>
      </c>
      <c r="C25" s="73">
        <f t="shared" si="0"/>
        <v>0</v>
      </c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  <c r="O25" s="288"/>
      <c r="P25" s="288"/>
      <c r="Q25" s="289"/>
    </row>
    <row r="26" spans="2:17" s="49" customFormat="1" ht="12.95" customHeight="1" x14ac:dyDescent="0.25">
      <c r="B26" s="48">
        <f t="shared" si="0"/>
        <v>0</v>
      </c>
      <c r="C26" s="73">
        <f t="shared" si="0"/>
        <v>0</v>
      </c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  <c r="O26" s="288"/>
      <c r="P26" s="288"/>
      <c r="Q26" s="289"/>
    </row>
    <row r="27" spans="2:17" s="49" customFormat="1" ht="12.95" customHeight="1" x14ac:dyDescent="0.25">
      <c r="B27" s="48">
        <f t="shared" si="0"/>
        <v>0</v>
      </c>
      <c r="C27" s="73">
        <f t="shared" si="0"/>
        <v>0</v>
      </c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9"/>
    </row>
    <row r="28" spans="2:17" s="49" customFormat="1" ht="5.0999999999999996" customHeight="1" x14ac:dyDescent="0.25">
      <c r="B28" s="48"/>
      <c r="C28" s="163" t="s">
        <v>13</v>
      </c>
      <c r="D28" s="289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</row>
    <row r="29" spans="2:17" s="49" customFormat="1" ht="13.5" customHeight="1" x14ac:dyDescent="0.25">
      <c r="B29" s="48"/>
      <c r="C29" s="164"/>
      <c r="D29" s="290">
        <v>0.29166666666666669</v>
      </c>
      <c r="E29" s="290">
        <v>0.33333333333333298</v>
      </c>
      <c r="F29" s="290">
        <v>0.375</v>
      </c>
      <c r="G29" s="290">
        <v>0.41666666666666702</v>
      </c>
      <c r="H29" s="290">
        <v>0.45833333333333298</v>
      </c>
      <c r="I29" s="290">
        <v>0.5</v>
      </c>
      <c r="J29" s="290">
        <v>0.54166666666666696</v>
      </c>
      <c r="K29" s="290">
        <v>0.58333333333333304</v>
      </c>
      <c r="L29" s="290">
        <v>0.625</v>
      </c>
      <c r="M29" s="290">
        <v>0.66666666666666696</v>
      </c>
      <c r="N29" s="290">
        <v>0.70833333333333304</v>
      </c>
      <c r="O29" s="290">
        <v>0.75</v>
      </c>
      <c r="P29" s="290">
        <v>0.79166666666666696</v>
      </c>
      <c r="Q29" s="289"/>
    </row>
    <row r="30" spans="2:17" s="49" customFormat="1" ht="13.5" customHeight="1" x14ac:dyDescent="0.25">
      <c r="B30" s="48" t="str">
        <f t="shared" ref="B30:C39" si="1">B18</f>
        <v>Singh</v>
      </c>
      <c r="C30" s="73" t="str">
        <f t="shared" si="1"/>
        <v>Kam</v>
      </c>
      <c r="D30" s="288"/>
      <c r="E30" s="288"/>
      <c r="F30" s="288"/>
      <c r="G30" s="288"/>
      <c r="H30" s="288"/>
      <c r="I30" s="288"/>
      <c r="J30" s="288"/>
      <c r="K30" s="288"/>
      <c r="L30" s="288"/>
      <c r="M30" s="288"/>
      <c r="N30" s="288"/>
      <c r="O30" s="288"/>
      <c r="P30" s="288"/>
      <c r="Q30" s="289"/>
    </row>
    <row r="31" spans="2:17" s="49" customFormat="1" ht="13.5" customHeight="1" x14ac:dyDescent="0.25">
      <c r="B31" s="48" t="str">
        <f t="shared" si="1"/>
        <v>Saleem</v>
      </c>
      <c r="C31" s="73" t="str">
        <f t="shared" si="1"/>
        <v>Nada</v>
      </c>
      <c r="D31" s="288"/>
      <c r="E31" s="288"/>
      <c r="F31" s="288"/>
      <c r="G31" s="288"/>
      <c r="H31" s="288"/>
      <c r="I31" s="288"/>
      <c r="J31" s="288"/>
      <c r="K31" s="288"/>
      <c r="L31" s="288"/>
      <c r="M31" s="288"/>
      <c r="N31" s="288"/>
      <c r="O31" s="288"/>
      <c r="P31" s="288"/>
      <c r="Q31" s="289"/>
    </row>
    <row r="32" spans="2:17" s="49" customFormat="1" ht="13.5" customHeight="1" x14ac:dyDescent="0.25">
      <c r="B32" s="48" t="str">
        <f t="shared" si="1"/>
        <v>Halls</v>
      </c>
      <c r="C32" s="73" t="str">
        <f t="shared" si="1"/>
        <v>Mark</v>
      </c>
      <c r="D32" s="288"/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9"/>
    </row>
    <row r="33" spans="2:17" s="49" customFormat="1" ht="13.5" customHeight="1" x14ac:dyDescent="0.25">
      <c r="B33" s="48">
        <f t="shared" si="1"/>
        <v>0</v>
      </c>
      <c r="C33" s="73">
        <f t="shared" si="1"/>
        <v>0</v>
      </c>
      <c r="D33" s="288"/>
      <c r="E33" s="288"/>
      <c r="F33" s="288"/>
      <c r="G33" s="288"/>
      <c r="H33" s="288"/>
      <c r="I33" s="288"/>
      <c r="J33" s="288"/>
      <c r="K33" s="288"/>
      <c r="L33" s="288"/>
      <c r="M33" s="288"/>
      <c r="N33" s="288"/>
      <c r="O33" s="288"/>
      <c r="P33" s="288"/>
      <c r="Q33" s="289"/>
    </row>
    <row r="34" spans="2:17" s="49" customFormat="1" ht="13.5" customHeight="1" x14ac:dyDescent="0.25">
      <c r="B34" s="48">
        <f t="shared" si="1"/>
        <v>0</v>
      </c>
      <c r="C34" s="73">
        <f t="shared" si="1"/>
        <v>0</v>
      </c>
      <c r="D34" s="288"/>
      <c r="E34" s="288"/>
      <c r="F34" s="288"/>
      <c r="G34" s="288"/>
      <c r="H34" s="288"/>
      <c r="I34" s="288"/>
      <c r="J34" s="288"/>
      <c r="K34" s="288"/>
      <c r="L34" s="288"/>
      <c r="M34" s="288"/>
      <c r="N34" s="288"/>
      <c r="O34" s="288"/>
      <c r="P34" s="288"/>
      <c r="Q34" s="289"/>
    </row>
    <row r="35" spans="2:17" s="49" customFormat="1" ht="13.5" customHeight="1" x14ac:dyDescent="0.25">
      <c r="B35" s="48">
        <f t="shared" si="1"/>
        <v>0</v>
      </c>
      <c r="C35" s="73">
        <f t="shared" si="1"/>
        <v>0</v>
      </c>
      <c r="D35" s="288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9"/>
    </row>
    <row r="36" spans="2:17" s="49" customFormat="1" ht="12.95" customHeight="1" x14ac:dyDescent="0.25">
      <c r="B36" s="48">
        <f t="shared" si="1"/>
        <v>0</v>
      </c>
      <c r="C36" s="73">
        <f t="shared" si="1"/>
        <v>0</v>
      </c>
      <c r="D36" s="288"/>
      <c r="E36" s="288"/>
      <c r="F36" s="288"/>
      <c r="G36" s="288"/>
      <c r="H36" s="288"/>
      <c r="I36" s="288"/>
      <c r="J36" s="288"/>
      <c r="K36" s="288"/>
      <c r="L36" s="288"/>
      <c r="M36" s="288"/>
      <c r="N36" s="288"/>
      <c r="O36" s="288"/>
      <c r="P36" s="288"/>
      <c r="Q36" s="289"/>
    </row>
    <row r="37" spans="2:17" s="49" customFormat="1" ht="12.95" customHeight="1" x14ac:dyDescent="0.25">
      <c r="B37" s="48">
        <f t="shared" si="1"/>
        <v>0</v>
      </c>
      <c r="C37" s="73">
        <f t="shared" si="1"/>
        <v>0</v>
      </c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  <c r="O37" s="288"/>
      <c r="P37" s="288"/>
      <c r="Q37" s="289"/>
    </row>
    <row r="38" spans="2:17" s="49" customFormat="1" ht="12.95" customHeight="1" x14ac:dyDescent="0.25">
      <c r="B38" s="48">
        <f t="shared" si="1"/>
        <v>0</v>
      </c>
      <c r="C38" s="73">
        <f t="shared" si="1"/>
        <v>0</v>
      </c>
      <c r="D38" s="288"/>
      <c r="E38" s="288"/>
      <c r="F38" s="288"/>
      <c r="G38" s="288"/>
      <c r="H38" s="288"/>
      <c r="I38" s="288"/>
      <c r="J38" s="288"/>
      <c r="K38" s="288"/>
      <c r="L38" s="288"/>
      <c r="M38" s="288"/>
      <c r="N38" s="288"/>
      <c r="O38" s="288"/>
      <c r="P38" s="288"/>
      <c r="Q38" s="289"/>
    </row>
    <row r="39" spans="2:17" s="49" customFormat="1" ht="12.95" customHeight="1" x14ac:dyDescent="0.25">
      <c r="B39" s="48">
        <f t="shared" si="1"/>
        <v>0</v>
      </c>
      <c r="C39" s="73">
        <f t="shared" si="1"/>
        <v>0</v>
      </c>
      <c r="D39" s="288"/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9"/>
    </row>
    <row r="40" spans="2:17" s="49" customFormat="1" ht="13.5" customHeight="1" x14ac:dyDescent="0.25">
      <c r="B40" s="48"/>
      <c r="C40" s="74" t="s">
        <v>14</v>
      </c>
      <c r="D40" s="290">
        <v>0.29166666666666669</v>
      </c>
      <c r="E40" s="290">
        <v>0.33333333333333298</v>
      </c>
      <c r="F40" s="290">
        <v>0.375</v>
      </c>
      <c r="G40" s="290">
        <v>0.41666666666666702</v>
      </c>
      <c r="H40" s="290">
        <v>0.45833333333333298</v>
      </c>
      <c r="I40" s="290">
        <v>0.5</v>
      </c>
      <c r="J40" s="290">
        <v>0.54166666666666696</v>
      </c>
      <c r="K40" s="290">
        <v>0.58333333333333304</v>
      </c>
      <c r="L40" s="290">
        <v>0.625</v>
      </c>
      <c r="M40" s="290">
        <v>0.66666666666666696</v>
      </c>
      <c r="N40" s="290">
        <v>0.70833333333333304</v>
      </c>
      <c r="O40" s="290">
        <v>0.75</v>
      </c>
      <c r="P40" s="290">
        <v>0.79166666666666696</v>
      </c>
      <c r="Q40" s="289"/>
    </row>
    <row r="41" spans="2:17" s="49" customFormat="1" ht="13.5" customHeight="1" x14ac:dyDescent="0.25">
      <c r="B41" s="48" t="str">
        <f t="shared" ref="B41:C50" si="2">B30</f>
        <v>Singh</v>
      </c>
      <c r="C41" s="73" t="str">
        <f t="shared" si="2"/>
        <v>Kam</v>
      </c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289"/>
    </row>
    <row r="42" spans="2:17" s="49" customFormat="1" ht="13.5" customHeight="1" x14ac:dyDescent="0.25">
      <c r="B42" s="48" t="str">
        <f t="shared" si="2"/>
        <v>Saleem</v>
      </c>
      <c r="C42" s="73" t="str">
        <f t="shared" si="2"/>
        <v>Nada</v>
      </c>
      <c r="D42" s="288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9"/>
    </row>
    <row r="43" spans="2:17" s="49" customFormat="1" ht="13.5" customHeight="1" x14ac:dyDescent="0.25">
      <c r="B43" s="48" t="str">
        <f t="shared" si="2"/>
        <v>Halls</v>
      </c>
      <c r="C43" s="73" t="str">
        <f t="shared" si="2"/>
        <v>Mark</v>
      </c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9"/>
    </row>
    <row r="44" spans="2:17" s="49" customFormat="1" ht="13.5" customHeight="1" x14ac:dyDescent="0.25">
      <c r="B44" s="48">
        <f t="shared" si="2"/>
        <v>0</v>
      </c>
      <c r="C44" s="73">
        <f t="shared" si="2"/>
        <v>0</v>
      </c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9"/>
    </row>
    <row r="45" spans="2:17" s="49" customFormat="1" ht="13.5" customHeight="1" x14ac:dyDescent="0.25">
      <c r="B45" s="48">
        <f t="shared" si="2"/>
        <v>0</v>
      </c>
      <c r="C45" s="73">
        <f t="shared" si="2"/>
        <v>0</v>
      </c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9"/>
    </row>
    <row r="46" spans="2:17" s="49" customFormat="1" ht="13.5" customHeight="1" x14ac:dyDescent="0.25">
      <c r="B46" s="48">
        <f t="shared" si="2"/>
        <v>0</v>
      </c>
      <c r="C46" s="73">
        <f t="shared" si="2"/>
        <v>0</v>
      </c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9"/>
    </row>
    <row r="47" spans="2:17" s="49" customFormat="1" ht="12.95" customHeight="1" x14ac:dyDescent="0.25">
      <c r="B47" s="48">
        <f t="shared" si="2"/>
        <v>0</v>
      </c>
      <c r="C47" s="73">
        <f t="shared" si="2"/>
        <v>0</v>
      </c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9"/>
    </row>
    <row r="48" spans="2:17" s="49" customFormat="1" ht="12.95" customHeight="1" x14ac:dyDescent="0.25">
      <c r="B48" s="48">
        <f t="shared" si="2"/>
        <v>0</v>
      </c>
      <c r="C48" s="73">
        <f t="shared" si="2"/>
        <v>0</v>
      </c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9"/>
    </row>
    <row r="49" spans="2:18" s="49" customFormat="1" ht="12.95" customHeight="1" x14ac:dyDescent="0.25">
      <c r="B49" s="48">
        <f t="shared" si="2"/>
        <v>0</v>
      </c>
      <c r="C49" s="73">
        <f t="shared" si="2"/>
        <v>0</v>
      </c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9"/>
    </row>
    <row r="50" spans="2:18" s="49" customFormat="1" ht="12.95" customHeight="1" x14ac:dyDescent="0.25">
      <c r="B50" s="48">
        <f t="shared" si="2"/>
        <v>0</v>
      </c>
      <c r="C50" s="73">
        <f t="shared" si="2"/>
        <v>0</v>
      </c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9"/>
    </row>
    <row r="51" spans="2:18" s="49" customFormat="1" ht="5.0999999999999996" customHeight="1" x14ac:dyDescent="0.25">
      <c r="B51" s="48"/>
      <c r="C51" s="158" t="s">
        <v>15</v>
      </c>
      <c r="D51" s="289"/>
      <c r="E51" s="289"/>
      <c r="F51" s="289"/>
      <c r="G51" s="289"/>
      <c r="H51" s="289"/>
      <c r="I51" s="289"/>
      <c r="J51" s="289"/>
      <c r="K51" s="289"/>
      <c r="L51" s="289"/>
      <c r="M51" s="289"/>
      <c r="N51" s="289"/>
      <c r="O51" s="289"/>
      <c r="P51" s="289"/>
      <c r="Q51" s="289"/>
    </row>
    <row r="52" spans="2:18" s="49" customFormat="1" ht="13.5" customHeight="1" x14ac:dyDescent="0.25">
      <c r="B52" s="48"/>
      <c r="C52" s="158"/>
      <c r="D52" s="290">
        <v>0.29166666666666669</v>
      </c>
      <c r="E52" s="290">
        <v>0.33333333333333298</v>
      </c>
      <c r="F52" s="290">
        <v>0.375</v>
      </c>
      <c r="G52" s="290">
        <v>0.41666666666666702</v>
      </c>
      <c r="H52" s="290">
        <v>0.45833333333333298</v>
      </c>
      <c r="I52" s="290">
        <v>0.5</v>
      </c>
      <c r="J52" s="290">
        <v>0.54166666666666696</v>
      </c>
      <c r="K52" s="290">
        <v>0.58333333333333304</v>
      </c>
      <c r="L52" s="290">
        <v>0.625</v>
      </c>
      <c r="M52" s="290">
        <v>0.66666666666666696</v>
      </c>
      <c r="N52" s="290">
        <v>0.70833333333333304</v>
      </c>
      <c r="O52" s="290">
        <v>0.75</v>
      </c>
      <c r="P52" s="290">
        <v>0.79166666666666696</v>
      </c>
      <c r="Q52" s="289"/>
    </row>
    <row r="53" spans="2:18" s="49" customFormat="1" ht="13.5" customHeight="1" x14ac:dyDescent="0.25">
      <c r="B53" s="48" t="str">
        <f t="shared" ref="B53:C62" si="3">B41</f>
        <v>Singh</v>
      </c>
      <c r="C53" s="73" t="str">
        <f t="shared" si="3"/>
        <v>Kam</v>
      </c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9"/>
    </row>
    <row r="54" spans="2:18" s="49" customFormat="1" ht="13.5" customHeight="1" x14ac:dyDescent="0.25">
      <c r="B54" s="48" t="str">
        <f t="shared" si="3"/>
        <v>Saleem</v>
      </c>
      <c r="C54" s="73" t="str">
        <f t="shared" si="3"/>
        <v>Nada</v>
      </c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9"/>
    </row>
    <row r="55" spans="2:18" s="49" customFormat="1" ht="13.5" customHeight="1" x14ac:dyDescent="0.25">
      <c r="B55" s="48" t="str">
        <f t="shared" si="3"/>
        <v>Halls</v>
      </c>
      <c r="C55" s="73" t="str">
        <f t="shared" si="3"/>
        <v>Mark</v>
      </c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9"/>
    </row>
    <row r="56" spans="2:18" s="49" customFormat="1" ht="13.5" customHeight="1" x14ac:dyDescent="0.25">
      <c r="B56" s="48">
        <f t="shared" si="3"/>
        <v>0</v>
      </c>
      <c r="C56" s="73">
        <f t="shared" si="3"/>
        <v>0</v>
      </c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9"/>
    </row>
    <row r="57" spans="2:18" s="49" customFormat="1" ht="13.5" customHeight="1" x14ac:dyDescent="0.25">
      <c r="B57" s="48">
        <f t="shared" si="3"/>
        <v>0</v>
      </c>
      <c r="C57" s="73">
        <f t="shared" si="3"/>
        <v>0</v>
      </c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9"/>
    </row>
    <row r="58" spans="2:18" s="49" customFormat="1" ht="12.95" customHeight="1" x14ac:dyDescent="0.25">
      <c r="B58" s="48">
        <f t="shared" si="3"/>
        <v>0</v>
      </c>
      <c r="C58" s="73">
        <f t="shared" si="3"/>
        <v>0</v>
      </c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9"/>
    </row>
    <row r="59" spans="2:18" s="49" customFormat="1" ht="12.95" customHeight="1" x14ac:dyDescent="0.25">
      <c r="B59" s="48">
        <f t="shared" si="3"/>
        <v>0</v>
      </c>
      <c r="C59" s="73">
        <f t="shared" si="3"/>
        <v>0</v>
      </c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9"/>
    </row>
    <row r="60" spans="2:18" s="49" customFormat="1" ht="12.95" customHeight="1" x14ac:dyDescent="0.25">
      <c r="B60" s="48">
        <f t="shared" si="3"/>
        <v>0</v>
      </c>
      <c r="C60" s="73">
        <f t="shared" si="3"/>
        <v>0</v>
      </c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9"/>
    </row>
    <row r="61" spans="2:18" s="49" customFormat="1" ht="12.95" customHeight="1" x14ac:dyDescent="0.25">
      <c r="B61" s="48">
        <f t="shared" si="3"/>
        <v>0</v>
      </c>
      <c r="C61" s="73">
        <f t="shared" si="3"/>
        <v>0</v>
      </c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9"/>
    </row>
    <row r="62" spans="2:18" s="49" customFormat="1" ht="12.95" customHeight="1" x14ac:dyDescent="0.25">
      <c r="B62" s="48">
        <f t="shared" si="3"/>
        <v>0</v>
      </c>
      <c r="C62" s="73">
        <f t="shared" si="3"/>
        <v>0</v>
      </c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9"/>
    </row>
    <row r="63" spans="2:18" s="49" customFormat="1" ht="5.0999999999999996" customHeight="1" x14ac:dyDescent="0.25">
      <c r="B63" s="48"/>
      <c r="C63" s="158" t="s">
        <v>20</v>
      </c>
      <c r="D63" s="289"/>
      <c r="E63" s="289"/>
      <c r="F63" s="289"/>
      <c r="G63" s="289"/>
      <c r="H63" s="289"/>
      <c r="I63" s="289"/>
      <c r="J63" s="289"/>
      <c r="K63" s="289"/>
      <c r="L63" s="289"/>
      <c r="M63" s="289"/>
      <c r="N63" s="289"/>
      <c r="O63" s="289"/>
      <c r="P63" s="289"/>
      <c r="Q63" s="289"/>
    </row>
    <row r="64" spans="2:18" s="49" customFormat="1" ht="13.5" customHeight="1" x14ac:dyDescent="0.25">
      <c r="B64" s="48"/>
      <c r="C64" s="158"/>
      <c r="D64" s="290">
        <v>0.29166666666666669</v>
      </c>
      <c r="E64" s="290">
        <v>0.33333333333333298</v>
      </c>
      <c r="F64" s="290">
        <v>0.375</v>
      </c>
      <c r="G64" s="290">
        <v>0.41666666666666702</v>
      </c>
      <c r="H64" s="290">
        <v>0.45833333333333298</v>
      </c>
      <c r="I64" s="290">
        <v>0.5</v>
      </c>
      <c r="J64" s="290">
        <v>0.54166666666666696</v>
      </c>
      <c r="K64" s="290">
        <v>0.58333333333333304</v>
      </c>
      <c r="L64" s="290">
        <v>0.625</v>
      </c>
      <c r="M64" s="290">
        <v>0.66666666666666696</v>
      </c>
      <c r="N64" s="290">
        <v>0.70833333333333304</v>
      </c>
      <c r="O64" s="290">
        <v>0.75</v>
      </c>
      <c r="P64" s="290">
        <v>0.79166666666666696</v>
      </c>
      <c r="Q64" s="290">
        <v>0.83333333333332904</v>
      </c>
      <c r="R64" s="50"/>
    </row>
    <row r="65" spans="2:18" s="49" customFormat="1" ht="13.5" customHeight="1" x14ac:dyDescent="0.25">
      <c r="B65" s="48" t="str">
        <f t="shared" ref="B65:C73" si="4">B53</f>
        <v>Singh</v>
      </c>
      <c r="C65" s="73" t="str">
        <f t="shared" si="4"/>
        <v>Kam</v>
      </c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50"/>
    </row>
    <row r="66" spans="2:18" s="49" customFormat="1" ht="13.5" customHeight="1" x14ac:dyDescent="0.25">
      <c r="B66" s="48" t="str">
        <f t="shared" si="4"/>
        <v>Saleem</v>
      </c>
      <c r="C66" s="73" t="str">
        <f t="shared" si="4"/>
        <v>Nada</v>
      </c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50"/>
    </row>
    <row r="67" spans="2:18" s="49" customFormat="1" ht="13.5" customHeight="1" x14ac:dyDescent="0.25">
      <c r="B67" s="48" t="str">
        <f t="shared" si="4"/>
        <v>Halls</v>
      </c>
      <c r="C67" s="73" t="str">
        <f t="shared" si="4"/>
        <v>Mark</v>
      </c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50"/>
    </row>
    <row r="68" spans="2:18" s="49" customFormat="1" ht="13.5" customHeight="1" x14ac:dyDescent="0.25">
      <c r="B68" s="48">
        <f t="shared" si="4"/>
        <v>0</v>
      </c>
      <c r="C68" s="73">
        <f t="shared" si="4"/>
        <v>0</v>
      </c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50"/>
    </row>
    <row r="69" spans="2:18" s="49" customFormat="1" ht="13.5" customHeight="1" x14ac:dyDescent="0.25">
      <c r="B69" s="48">
        <f t="shared" si="4"/>
        <v>0</v>
      </c>
      <c r="C69" s="73">
        <f t="shared" si="4"/>
        <v>0</v>
      </c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50"/>
    </row>
    <row r="70" spans="2:18" s="49" customFormat="1" ht="13.5" customHeight="1" x14ac:dyDescent="0.25">
      <c r="B70" s="48">
        <f t="shared" si="4"/>
        <v>0</v>
      </c>
      <c r="C70" s="73">
        <f t="shared" si="4"/>
        <v>0</v>
      </c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50"/>
    </row>
    <row r="71" spans="2:18" s="49" customFormat="1" ht="12.75" customHeight="1" x14ac:dyDescent="0.25">
      <c r="B71" s="48">
        <f t="shared" si="4"/>
        <v>0</v>
      </c>
      <c r="C71" s="73">
        <f t="shared" si="4"/>
        <v>0</v>
      </c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</row>
    <row r="72" spans="2:18" s="49" customFormat="1" ht="12.95" customHeight="1" x14ac:dyDescent="0.25">
      <c r="B72" s="48">
        <f t="shared" si="4"/>
        <v>0</v>
      </c>
      <c r="C72" s="73">
        <f t="shared" si="4"/>
        <v>0</v>
      </c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</row>
    <row r="73" spans="2:18" s="49" customFormat="1" ht="12.95" customHeight="1" x14ac:dyDescent="0.25">
      <c r="B73" s="48">
        <f t="shared" si="4"/>
        <v>0</v>
      </c>
      <c r="C73" s="73">
        <f t="shared" si="4"/>
        <v>0</v>
      </c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</row>
    <row r="74" spans="2:18" s="49" customFormat="1" ht="12.95" customHeight="1" x14ac:dyDescent="0.25">
      <c r="B74" s="48">
        <f>B62</f>
        <v>0</v>
      </c>
      <c r="C74" s="73">
        <f t="shared" ref="C74" si="5">C62</f>
        <v>0</v>
      </c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</row>
    <row r="75" spans="2:18" s="49" customFormat="1" ht="5.0999999999999996" customHeight="1" x14ac:dyDescent="0.25">
      <c r="B75" s="48"/>
      <c r="C75" s="158" t="s">
        <v>21</v>
      </c>
      <c r="D75" s="289"/>
      <c r="E75" s="289"/>
      <c r="F75" s="289"/>
      <c r="G75" s="289"/>
      <c r="H75" s="289"/>
      <c r="I75" s="289"/>
      <c r="J75" s="289"/>
      <c r="K75" s="289"/>
      <c r="L75" s="289"/>
      <c r="M75" s="289"/>
      <c r="N75" s="289"/>
      <c r="O75" s="289"/>
      <c r="P75" s="289"/>
      <c r="Q75" s="289"/>
    </row>
    <row r="76" spans="2:18" s="49" customFormat="1" ht="13.5" customHeight="1" x14ac:dyDescent="0.25">
      <c r="B76" s="48"/>
      <c r="C76" s="158"/>
      <c r="D76" s="290">
        <v>0.33333333333333331</v>
      </c>
      <c r="E76" s="290">
        <v>0.375</v>
      </c>
      <c r="F76" s="290">
        <v>0.41666666666666702</v>
      </c>
      <c r="G76" s="290">
        <v>0.45833333333333298</v>
      </c>
      <c r="H76" s="290">
        <v>0.5</v>
      </c>
      <c r="I76" s="290">
        <v>0.54166666666666696</v>
      </c>
      <c r="J76" s="290">
        <v>0.58333333333333304</v>
      </c>
      <c r="K76" s="290">
        <v>0.625</v>
      </c>
      <c r="L76" s="290">
        <v>0.66666666666666696</v>
      </c>
      <c r="M76" s="290">
        <v>0.70833333333333304</v>
      </c>
      <c r="N76" s="288"/>
      <c r="O76" s="289"/>
      <c r="P76" s="289"/>
      <c r="Q76" s="289"/>
    </row>
    <row r="77" spans="2:18" s="49" customFormat="1" ht="13.5" customHeight="1" x14ac:dyDescent="0.25">
      <c r="B77" s="48" t="str">
        <f>B65</f>
        <v>Singh</v>
      </c>
      <c r="C77" s="73" t="str">
        <f t="shared" ref="C77:C85" si="6">C65</f>
        <v>Kam</v>
      </c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9"/>
      <c r="P77" s="289"/>
      <c r="Q77" s="289"/>
    </row>
    <row r="78" spans="2:18" s="49" customFormat="1" ht="13.5" customHeight="1" x14ac:dyDescent="0.25">
      <c r="B78" s="48" t="str">
        <f t="shared" ref="B78:B85" si="7">B66</f>
        <v>Saleem</v>
      </c>
      <c r="C78" s="73" t="str">
        <f t="shared" si="6"/>
        <v>Nada</v>
      </c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9"/>
      <c r="P78" s="289"/>
      <c r="Q78" s="289"/>
    </row>
    <row r="79" spans="2:18" s="49" customFormat="1" ht="13.5" customHeight="1" x14ac:dyDescent="0.25">
      <c r="B79" s="48" t="str">
        <f t="shared" si="7"/>
        <v>Halls</v>
      </c>
      <c r="C79" s="73" t="str">
        <f t="shared" si="6"/>
        <v>Mark</v>
      </c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9"/>
      <c r="P79" s="289"/>
      <c r="Q79" s="289"/>
    </row>
    <row r="80" spans="2:18" s="49" customFormat="1" ht="13.5" customHeight="1" x14ac:dyDescent="0.25">
      <c r="B80" s="48">
        <f t="shared" si="7"/>
        <v>0</v>
      </c>
      <c r="C80" s="73">
        <f t="shared" si="6"/>
        <v>0</v>
      </c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9"/>
      <c r="P80" s="289"/>
      <c r="Q80" s="289"/>
    </row>
    <row r="81" spans="2:35" s="49" customFormat="1" ht="13.5" customHeight="1" x14ac:dyDescent="0.25">
      <c r="B81" s="48">
        <f t="shared" si="7"/>
        <v>0</v>
      </c>
      <c r="C81" s="73">
        <f t="shared" si="6"/>
        <v>0</v>
      </c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9"/>
      <c r="P81" s="289"/>
      <c r="Q81" s="289"/>
    </row>
    <row r="82" spans="2:35" s="49" customFormat="1" ht="12.75" customHeight="1" x14ac:dyDescent="0.25">
      <c r="B82" s="48">
        <f t="shared" si="7"/>
        <v>0</v>
      </c>
      <c r="C82" s="73">
        <f t="shared" si="6"/>
        <v>0</v>
      </c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91"/>
      <c r="O82" s="289"/>
      <c r="P82" s="289"/>
      <c r="Q82" s="289"/>
    </row>
    <row r="83" spans="2:35" s="49" customFormat="1" ht="12.95" customHeight="1" x14ac:dyDescent="0.25">
      <c r="B83" s="48">
        <f t="shared" si="7"/>
        <v>0</v>
      </c>
      <c r="C83" s="73">
        <f t="shared" si="6"/>
        <v>0</v>
      </c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91"/>
      <c r="O83" s="289"/>
      <c r="P83" s="289"/>
      <c r="Q83" s="289"/>
    </row>
    <row r="84" spans="2:35" s="49" customFormat="1" ht="12.95" customHeight="1" x14ac:dyDescent="0.25">
      <c r="B84" s="48">
        <f t="shared" si="7"/>
        <v>0</v>
      </c>
      <c r="C84" s="73">
        <f t="shared" si="6"/>
        <v>0</v>
      </c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91"/>
      <c r="O84" s="289"/>
      <c r="P84" s="289"/>
      <c r="Q84" s="289"/>
    </row>
    <row r="85" spans="2:35" s="49" customFormat="1" ht="12.95" customHeight="1" x14ac:dyDescent="0.25">
      <c r="B85" s="48">
        <f t="shared" si="7"/>
        <v>0</v>
      </c>
      <c r="C85" s="73">
        <f t="shared" si="6"/>
        <v>0</v>
      </c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91"/>
      <c r="O85" s="289"/>
      <c r="P85" s="289"/>
      <c r="Q85" s="289"/>
    </row>
    <row r="86" spans="2:35" s="49" customFormat="1" ht="12.95" customHeight="1" x14ac:dyDescent="0.25">
      <c r="B86" s="48">
        <f>B74</f>
        <v>0</v>
      </c>
      <c r="C86" s="73">
        <f>C74</f>
        <v>0</v>
      </c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91"/>
      <c r="O86" s="289"/>
      <c r="P86" s="289"/>
      <c r="Q86" s="289"/>
    </row>
    <row r="87" spans="2:35" x14ac:dyDescent="0.25">
      <c r="AI87" s="49"/>
    </row>
    <row r="88" spans="2:35" hidden="1" x14ac:dyDescent="0.25">
      <c r="AI88" s="49"/>
    </row>
    <row r="89" spans="2:35" hidden="1" x14ac:dyDescent="0.25">
      <c r="AI89" s="49"/>
    </row>
    <row r="90" spans="2:35" hidden="1" x14ac:dyDescent="0.25">
      <c r="AI90" s="49"/>
    </row>
    <row r="91" spans="2:35" hidden="1" x14ac:dyDescent="0.25">
      <c r="AI91" s="49"/>
    </row>
    <row r="92" spans="2:35" hidden="1" x14ac:dyDescent="0.25">
      <c r="AI92" s="49"/>
    </row>
    <row r="93" spans="2:35" hidden="1" x14ac:dyDescent="0.25">
      <c r="AI93" s="49"/>
    </row>
    <row r="94" spans="2:35" hidden="1" x14ac:dyDescent="0.25">
      <c r="AI94" s="49"/>
    </row>
    <row r="95" spans="2:35" hidden="1" x14ac:dyDescent="0.25">
      <c r="AI95" s="49"/>
    </row>
  </sheetData>
  <sheetProtection password="CB7F" sheet="1" objects="1" scenarios="1"/>
  <sortState ref="AI5:AI10">
    <sortCondition ref="AI5"/>
  </sortState>
  <mergeCells count="9">
    <mergeCell ref="M1:P1"/>
    <mergeCell ref="M2:P2"/>
    <mergeCell ref="C51:C52"/>
    <mergeCell ref="C63:C64"/>
    <mergeCell ref="C75:C76"/>
    <mergeCell ref="C1:G2"/>
    <mergeCell ref="C4:C5"/>
    <mergeCell ref="C16:C17"/>
    <mergeCell ref="C28:C29"/>
  </mergeCells>
  <conditionalFormatting sqref="D77:M86 D53:P62 D6:P15">
    <cfRule type="containsText" dxfId="11" priority="24" operator="containsText" text="Sick">
      <formula>NOT(ISERROR(SEARCH("Sick",D6)))</formula>
    </cfRule>
  </conditionalFormatting>
  <conditionalFormatting sqref="D18:P27 D30:P39 D41:P50 D65:Q74 D77:M86 D53:P62 D6:P15">
    <cfRule type="containsText" dxfId="10" priority="20" operator="containsText" text="Waiter">
      <formula>NOT(ISERROR(SEARCH("Waiter",D6)))</formula>
    </cfRule>
    <cfRule type="containsText" dxfId="9" priority="21" operator="containsText" text="Off">
      <formula>NOT(ISERROR(SEARCH("Off",D6)))</formula>
    </cfRule>
    <cfRule type="containsText" dxfId="8" priority="22" operator="containsText" text="Chef">
      <formula>NOT(ISERROR(SEARCH("Chef",D6)))</formula>
    </cfRule>
    <cfRule type="containsText" dxfId="7" priority="23" operator="containsText" text="Cashier">
      <formula>NOT(ISERROR(SEARCH("Cashier",D6)))</formula>
    </cfRule>
  </conditionalFormatting>
  <conditionalFormatting sqref="D18:P27 D30:P39 D41:P50 D65:Q74 D77:M86 D53:P62 D6:P15">
    <cfRule type="containsText" dxfId="6" priority="19" operator="containsText" text="Cleaner">
      <formula>NOT(ISERROR(SEARCH("Cleaner",D6)))</formula>
    </cfRule>
  </conditionalFormatting>
  <conditionalFormatting sqref="D18:P27">
    <cfRule type="containsText" dxfId="5" priority="18" operator="containsText" text="Sick">
      <formula>NOT(ISERROR(SEARCH("Sick",D18)))</formula>
    </cfRule>
  </conditionalFormatting>
  <conditionalFormatting sqref="D30:P39">
    <cfRule type="containsText" dxfId="4" priority="17" operator="containsText" text="Sick">
      <formula>NOT(ISERROR(SEARCH("Sick",D30)))</formula>
    </cfRule>
  </conditionalFormatting>
  <conditionalFormatting sqref="D41:P50">
    <cfRule type="containsText" dxfId="3" priority="16" operator="containsText" text="Sick">
      <formula>NOT(ISERROR(SEARCH("Sick",D41)))</formula>
    </cfRule>
  </conditionalFormatting>
  <conditionalFormatting sqref="D65:Q74">
    <cfRule type="containsText" dxfId="2" priority="14" operator="containsText" text="Sick">
      <formula>NOT(ISERROR(SEARCH("Sick",D65)))</formula>
    </cfRule>
  </conditionalFormatting>
  <dataValidations count="1">
    <dataValidation type="list" allowBlank="1" showInputMessage="1" showErrorMessage="1" sqref="D53:P62 D65:Q74 D30:P39 D41:P50 D18:P27 D77:M86 D6:P15">
      <formula1>$AI$5:$AI$10</formula1>
    </dataValidation>
  </dataValidations>
  <pageMargins left="0.7" right="0.7" top="0.75" bottom="0.75" header="0.3" footer="0.3"/>
  <pageSetup paperSize="9" orientation="landscape" horizontalDpi="0" verticalDpi="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0000"/>
  </sheetPr>
  <dimension ref="A1:Q25"/>
  <sheetViews>
    <sheetView showGridLines="0" showRowColHeaders="0" topLeftCell="K1" workbookViewId="0">
      <selection activeCell="O12" sqref="O12"/>
    </sheetView>
  </sheetViews>
  <sheetFormatPr defaultColWidth="0" defaultRowHeight="15" x14ac:dyDescent="0.25"/>
  <cols>
    <col min="1" max="2" width="9.140625" style="2" customWidth="1"/>
    <col min="3" max="3" width="14.42578125" style="2" bestFit="1" customWidth="1"/>
    <col min="4" max="4" width="13.42578125" style="2" customWidth="1"/>
    <col min="5" max="5" width="8.140625" style="2" bestFit="1" customWidth="1"/>
    <col min="6" max="6" width="5.42578125" style="2" customWidth="1"/>
    <col min="7" max="7" width="6.85546875" style="2" bestFit="1" customWidth="1"/>
    <col min="8" max="8" width="5.85546875" style="2" customWidth="1"/>
    <col min="9" max="9" width="30.140625" style="2" customWidth="1"/>
    <col min="10" max="10" width="18.7109375" style="2" customWidth="1"/>
    <col min="11" max="11" width="3.7109375" style="2" customWidth="1"/>
    <col min="12" max="12" width="18.140625" style="2" customWidth="1"/>
    <col min="13" max="13" width="22.7109375" style="2" customWidth="1"/>
    <col min="14" max="14" width="4.28515625" style="2" customWidth="1"/>
    <col min="15" max="15" width="33" style="2" customWidth="1"/>
    <col min="16" max="16" width="4" style="2" hidden="1" customWidth="1"/>
    <col min="17" max="17" width="0" style="2" hidden="1" customWidth="1"/>
    <col min="18" max="16384" width="9.140625" style="2" hidden="1"/>
  </cols>
  <sheetData>
    <row r="1" spans="3:17" ht="30.75" customHeight="1" x14ac:dyDescent="0.65">
      <c r="E1" s="167" t="s">
        <v>157</v>
      </c>
      <c r="F1" s="167"/>
      <c r="G1" s="167"/>
      <c r="H1" s="167"/>
      <c r="I1" s="167"/>
      <c r="J1" s="167"/>
      <c r="K1" s="52"/>
    </row>
    <row r="2" spans="3:17" ht="11.25" customHeight="1" x14ac:dyDescent="0.25">
      <c r="E2" s="168"/>
      <c r="F2" s="168"/>
      <c r="G2" s="168"/>
      <c r="H2" s="168"/>
      <c r="I2" s="168"/>
      <c r="J2" s="168"/>
    </row>
    <row r="3" spans="3:17" ht="11.25" customHeight="1" x14ac:dyDescent="0.25"/>
    <row r="4" spans="3:17" ht="15.75" thickBot="1" x14ac:dyDescent="0.3">
      <c r="C4" s="1" t="s">
        <v>116</v>
      </c>
      <c r="D4" s="170"/>
      <c r="E4" s="168"/>
      <c r="F4" s="168"/>
      <c r="G4" s="168"/>
      <c r="H4" s="168"/>
      <c r="I4" s="1"/>
      <c r="J4" s="1"/>
      <c r="K4" s="1"/>
      <c r="L4" s="1"/>
    </row>
    <row r="5" spans="3:17" x14ac:dyDescent="0.25">
      <c r="C5" s="1" t="s">
        <v>147</v>
      </c>
      <c r="D5" s="169"/>
      <c r="E5" s="169"/>
      <c r="F5" s="169"/>
      <c r="G5" s="169"/>
      <c r="H5" s="169"/>
      <c r="K5" s="14"/>
      <c r="L5" s="15"/>
      <c r="M5" s="15"/>
      <c r="N5" s="16"/>
    </row>
    <row r="6" spans="3:17" x14ac:dyDescent="0.25">
      <c r="C6" s="1" t="s">
        <v>148</v>
      </c>
      <c r="D6" s="169"/>
      <c r="E6" s="169"/>
      <c r="F6" s="169"/>
      <c r="G6" s="169"/>
      <c r="H6" s="169"/>
      <c r="I6" s="1"/>
      <c r="J6" s="1"/>
      <c r="K6" s="17"/>
      <c r="L6" s="13" t="s">
        <v>116</v>
      </c>
      <c r="M6" s="53" t="str">
        <f>IF(Q6=1,"Mr", IF(Q6=2,"Mrs", IF(Q6=3,"Miss")))</f>
        <v>Mr</v>
      </c>
      <c r="N6" s="18"/>
      <c r="Q6" s="2">
        <v>1</v>
      </c>
    </row>
    <row r="7" spans="3:17" x14ac:dyDescent="0.25">
      <c r="C7" s="1" t="s">
        <v>149</v>
      </c>
      <c r="D7" s="170"/>
      <c r="E7" s="170"/>
      <c r="F7" s="170"/>
      <c r="G7" s="170"/>
      <c r="H7" s="170"/>
      <c r="I7" s="1"/>
      <c r="J7" s="1"/>
      <c r="K7" s="17"/>
      <c r="L7" s="13" t="s">
        <v>147</v>
      </c>
      <c r="M7" s="53">
        <f>D5</f>
        <v>0</v>
      </c>
      <c r="N7" s="18"/>
    </row>
    <row r="8" spans="3:17" x14ac:dyDescent="0.25">
      <c r="H8" s="28"/>
      <c r="I8" s="1"/>
      <c r="J8" s="1"/>
      <c r="K8" s="17"/>
      <c r="L8" s="13" t="s">
        <v>148</v>
      </c>
      <c r="M8" s="53">
        <f>D6</f>
        <v>0</v>
      </c>
      <c r="N8" s="18"/>
    </row>
    <row r="9" spans="3:17" x14ac:dyDescent="0.25">
      <c r="C9" s="54" t="s">
        <v>150</v>
      </c>
      <c r="D9" s="1" t="s">
        <v>151</v>
      </c>
      <c r="E9" s="169"/>
      <c r="F9" s="169"/>
      <c r="G9" s="169"/>
      <c r="H9" s="1"/>
      <c r="I9" s="1"/>
      <c r="J9" s="1"/>
      <c r="K9" s="17"/>
      <c r="L9" s="13" t="s">
        <v>149</v>
      </c>
      <c r="M9" s="53" t="str">
        <f>IF(Q9=1,"Male",IF(Q9=2,"Female",))</f>
        <v>Male</v>
      </c>
      <c r="N9" s="18"/>
      <c r="Q9" s="2">
        <v>1</v>
      </c>
    </row>
    <row r="10" spans="3:17" x14ac:dyDescent="0.25">
      <c r="D10" s="1" t="s">
        <v>152</v>
      </c>
      <c r="E10" s="169"/>
      <c r="F10" s="169"/>
      <c r="G10" s="169"/>
      <c r="H10" s="1"/>
      <c r="I10" s="1"/>
      <c r="J10" s="1"/>
      <c r="K10" s="17"/>
      <c r="L10" s="13" t="s">
        <v>151</v>
      </c>
      <c r="M10" s="53">
        <f>E9</f>
        <v>0</v>
      </c>
      <c r="N10" s="18"/>
    </row>
    <row r="11" spans="3:17" x14ac:dyDescent="0.25">
      <c r="D11" s="1" t="s">
        <v>17</v>
      </c>
      <c r="E11" s="169"/>
      <c r="F11" s="169"/>
      <c r="G11" s="169"/>
      <c r="H11" s="1"/>
      <c r="I11" s="1"/>
      <c r="J11" s="1"/>
      <c r="K11" s="17"/>
      <c r="L11" s="13" t="s">
        <v>152</v>
      </c>
      <c r="M11" s="53">
        <f>E10</f>
        <v>0</v>
      </c>
      <c r="N11" s="18"/>
    </row>
    <row r="12" spans="3:17" x14ac:dyDescent="0.25">
      <c r="E12" s="1"/>
      <c r="F12" s="1"/>
      <c r="G12" s="1"/>
      <c r="H12" s="1"/>
      <c r="I12" s="1"/>
      <c r="J12" s="1"/>
      <c r="K12" s="17"/>
      <c r="L12" s="13" t="s">
        <v>17</v>
      </c>
      <c r="M12" s="53">
        <f>E11</f>
        <v>0</v>
      </c>
      <c r="N12" s="18"/>
    </row>
    <row r="13" spans="3:17" x14ac:dyDescent="0.25">
      <c r="C13" s="1" t="s">
        <v>113</v>
      </c>
      <c r="D13" s="165"/>
      <c r="E13" s="165"/>
      <c r="F13" s="165"/>
      <c r="G13" s="165"/>
      <c r="H13" s="165"/>
      <c r="I13" s="1"/>
      <c r="J13" s="1"/>
      <c r="K13" s="17"/>
      <c r="L13" s="13" t="s">
        <v>113</v>
      </c>
      <c r="M13" s="53">
        <f>D13</f>
        <v>0</v>
      </c>
      <c r="N13" s="18"/>
    </row>
    <row r="14" spans="3:17" x14ac:dyDescent="0.25">
      <c r="C14" s="1" t="s">
        <v>198</v>
      </c>
      <c r="D14" s="165"/>
      <c r="E14" s="165"/>
      <c r="F14" s="165"/>
      <c r="G14" s="165"/>
      <c r="H14" s="165"/>
      <c r="I14" s="1"/>
      <c r="J14" s="1"/>
      <c r="K14" s="17"/>
      <c r="L14" s="13" t="s">
        <v>198</v>
      </c>
      <c r="M14" s="53">
        <f>D14</f>
        <v>0</v>
      </c>
      <c r="N14" s="18"/>
    </row>
    <row r="15" spans="3:17" x14ac:dyDescent="0.25">
      <c r="C15" s="1" t="s">
        <v>112</v>
      </c>
      <c r="D15" s="165"/>
      <c r="E15" s="165"/>
      <c r="F15" s="165"/>
      <c r="G15" s="165"/>
      <c r="H15" s="165"/>
      <c r="I15" s="1"/>
      <c r="J15" s="1"/>
      <c r="K15" s="17"/>
      <c r="L15" s="13" t="s">
        <v>112</v>
      </c>
      <c r="M15" s="53">
        <f>D15</f>
        <v>0</v>
      </c>
      <c r="N15" s="18"/>
    </row>
    <row r="16" spans="3:17" x14ac:dyDescent="0.25">
      <c r="C16" s="1"/>
      <c r="D16" s="1"/>
      <c r="F16" s="1"/>
      <c r="G16" s="1"/>
      <c r="H16" s="1"/>
      <c r="I16" s="1"/>
      <c r="J16" s="1"/>
      <c r="K16" s="17"/>
      <c r="L16" s="13" t="s">
        <v>146</v>
      </c>
      <c r="M16" s="55">
        <f>D17</f>
        <v>0</v>
      </c>
      <c r="N16" s="18"/>
    </row>
    <row r="17" spans="3:17" x14ac:dyDescent="0.25">
      <c r="C17" s="1" t="s">
        <v>146</v>
      </c>
      <c r="D17" s="166"/>
      <c r="E17" s="166"/>
      <c r="F17" s="166"/>
      <c r="G17" s="166"/>
      <c r="H17" s="166"/>
      <c r="I17" s="1"/>
      <c r="J17" s="1"/>
      <c r="K17" s="17"/>
      <c r="L17" s="13" t="s">
        <v>153</v>
      </c>
      <c r="M17" s="55">
        <f>D18</f>
        <v>0</v>
      </c>
      <c r="N17" s="18"/>
    </row>
    <row r="18" spans="3:17" x14ac:dyDescent="0.25">
      <c r="C18" s="1" t="s">
        <v>228</v>
      </c>
      <c r="D18" s="166"/>
      <c r="E18" s="166"/>
      <c r="F18" s="166"/>
      <c r="G18" s="166"/>
      <c r="H18" s="166"/>
      <c r="I18" s="1"/>
      <c r="J18" s="1"/>
      <c r="K18" s="17"/>
      <c r="L18" s="13" t="s">
        <v>171</v>
      </c>
      <c r="M18" s="53" t="str">
        <f>IF(Q20=1,"N/A",IF(Q20=2,"Chef",IF('New Staff'!Q20=3,"Cleaner",IF('New Staff'!Q20=4,"Waiter/Cleaner"))))</f>
        <v>Chef</v>
      </c>
      <c r="N18" s="18"/>
    </row>
    <row r="19" spans="3:17" x14ac:dyDescent="0.25">
      <c r="C19" s="1"/>
      <c r="E19" s="1"/>
      <c r="F19" s="1"/>
      <c r="G19" s="1"/>
      <c r="H19" s="1"/>
      <c r="I19" s="1"/>
      <c r="J19" s="1"/>
      <c r="K19" s="17"/>
      <c r="L19" s="1"/>
      <c r="M19" s="1"/>
      <c r="N19" s="18"/>
    </row>
    <row r="20" spans="3:17" x14ac:dyDescent="0.25">
      <c r="C20" s="1" t="s">
        <v>171</v>
      </c>
      <c r="E20" s="1"/>
      <c r="F20" s="1"/>
      <c r="G20" s="1"/>
      <c r="H20" s="1"/>
      <c r="I20" s="1"/>
      <c r="J20" s="1"/>
      <c r="K20" s="17"/>
      <c r="L20" s="1"/>
      <c r="M20" s="1"/>
      <c r="N20" s="18"/>
      <c r="Q20" s="2">
        <v>2</v>
      </c>
    </row>
    <row r="21" spans="3:17" ht="15.75" thickBot="1" x14ac:dyDescent="0.3">
      <c r="C21" s="1"/>
      <c r="E21" s="1"/>
      <c r="F21" s="1"/>
      <c r="G21" s="1"/>
      <c r="H21" s="1"/>
      <c r="I21" s="1"/>
      <c r="J21" s="1"/>
      <c r="K21" s="19"/>
      <c r="L21" s="20"/>
      <c r="M21" s="20"/>
      <c r="N21" s="21"/>
    </row>
    <row r="22" spans="3:17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3:17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3:17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3:17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</row>
  </sheetData>
  <mergeCells count="13">
    <mergeCell ref="D15:H15"/>
    <mergeCell ref="D18:H18"/>
    <mergeCell ref="D17:H17"/>
    <mergeCell ref="E1:J2"/>
    <mergeCell ref="D6:H6"/>
    <mergeCell ref="E9:G9"/>
    <mergeCell ref="D14:H14"/>
    <mergeCell ref="D13:H13"/>
    <mergeCell ref="E10:G10"/>
    <mergeCell ref="E11:G11"/>
    <mergeCell ref="D4:H4"/>
    <mergeCell ref="D5:H5"/>
    <mergeCell ref="D7:H7"/>
  </mergeCells>
  <conditionalFormatting sqref="D5:H6 E9:G11 D13:H15 D17:H18">
    <cfRule type="notContainsBlanks" dxfId="1" priority="2">
      <formula>LEN(TRIM(D5))&gt;0</formula>
    </cfRule>
  </conditionalFormatting>
  <conditionalFormatting sqref="D5:H6 E9:G11 D13:H15 D17:H18">
    <cfRule type="containsBlanks" dxfId="0" priority="1">
      <formula>LEN(TRIM(D5))=0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Drop Down 4">
              <controlPr defaultSize="0" autoLine="0" autoPict="0">
                <anchor moveWithCells="1">
                  <from>
                    <xdr:col>3</xdr:col>
                    <xdr:colOff>0</xdr:colOff>
                    <xdr:row>2</xdr:row>
                    <xdr:rowOff>133350</xdr:rowOff>
                  </from>
                  <to>
                    <xdr:col>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Drop Down 5">
              <controlPr defaultSize="0" autoLine="0" autoPict="0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8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Drop Down 7">
              <controlPr defaultSize="0" autoLine="0" autoPict="0">
                <anchor moveWithCells="1">
                  <from>
                    <xdr:col>2</xdr:col>
                    <xdr:colOff>942975</xdr:colOff>
                    <xdr:row>19</xdr:row>
                    <xdr:rowOff>28575</xdr:rowOff>
                  </from>
                  <to>
                    <xdr:col>7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Sheet5!$C$3:$C$33</xm:f>
          </x14:formula1>
          <xm:sqref>E9</xm:sqref>
        </x14:dataValidation>
        <x14:dataValidation type="list" allowBlank="1" showInputMessage="1" showErrorMessage="1">
          <x14:formula1>
            <xm:f>Sheet5!$D$3:$D$14</xm:f>
          </x14:formula1>
          <xm:sqref>E10</xm:sqref>
        </x14:dataValidation>
        <x14:dataValidation type="list" allowBlank="1" showInputMessage="1" showErrorMessage="1">
          <x14:formula1>
            <xm:f>Sheet5!$E$3:$E$76</xm:f>
          </x14:formula1>
          <xm:sqref>E11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A1:L76"/>
  <sheetViews>
    <sheetView topLeftCell="K20" workbookViewId="0">
      <selection activeCell="U32" sqref="U32"/>
    </sheetView>
  </sheetViews>
  <sheetFormatPr defaultRowHeight="15" x14ac:dyDescent="0.25"/>
  <cols>
    <col min="1" max="16384" width="9.140625" style="2"/>
  </cols>
  <sheetData>
    <row r="1" spans="1:12" x14ac:dyDescent="0.25">
      <c r="C1" s="168" t="s">
        <v>154</v>
      </c>
      <c r="D1" s="168"/>
      <c r="E1" s="168"/>
      <c r="I1" s="2" t="s">
        <v>169</v>
      </c>
    </row>
    <row r="2" spans="1:12" x14ac:dyDescent="0.25">
      <c r="A2" s="2" t="s">
        <v>116</v>
      </c>
      <c r="B2" s="2" t="s">
        <v>149</v>
      </c>
      <c r="C2" s="2" t="s">
        <v>151</v>
      </c>
      <c r="D2" s="2" t="s">
        <v>152</v>
      </c>
      <c r="E2" s="2" t="s">
        <v>17</v>
      </c>
      <c r="I2" s="2" t="s">
        <v>170</v>
      </c>
    </row>
    <row r="3" spans="1:12" ht="15.75" x14ac:dyDescent="0.25">
      <c r="A3" s="2" t="s">
        <v>66</v>
      </c>
      <c r="B3" s="2" t="s">
        <v>155</v>
      </c>
      <c r="C3" s="2">
        <v>1</v>
      </c>
      <c r="D3" s="2">
        <v>1</v>
      </c>
      <c r="E3" s="2">
        <v>2013</v>
      </c>
      <c r="I3" s="32" t="s">
        <v>109</v>
      </c>
      <c r="L3" s="32"/>
    </row>
    <row r="4" spans="1:12" ht="15.75" x14ac:dyDescent="0.25">
      <c r="A4" s="2" t="s">
        <v>67</v>
      </c>
      <c r="B4" s="2" t="s">
        <v>156</v>
      </c>
      <c r="C4" s="2">
        <v>2</v>
      </c>
      <c r="D4" s="2">
        <v>2</v>
      </c>
      <c r="E4" s="2">
        <v>2012</v>
      </c>
      <c r="I4" s="32" t="s">
        <v>19</v>
      </c>
    </row>
    <row r="5" spans="1:12" ht="15.75" x14ac:dyDescent="0.25">
      <c r="A5" s="2" t="s">
        <v>68</v>
      </c>
      <c r="C5" s="2">
        <v>3</v>
      </c>
      <c r="D5" s="2">
        <v>3</v>
      </c>
      <c r="E5" s="2">
        <v>2011</v>
      </c>
      <c r="I5" s="32" t="s">
        <v>111</v>
      </c>
      <c r="L5" s="32"/>
    </row>
    <row r="6" spans="1:12" ht="15.75" x14ac:dyDescent="0.25">
      <c r="C6" s="2">
        <v>4</v>
      </c>
      <c r="D6" s="2">
        <v>4</v>
      </c>
      <c r="E6" s="2">
        <v>2010</v>
      </c>
      <c r="L6" s="32"/>
    </row>
    <row r="7" spans="1:12" ht="15.75" x14ac:dyDescent="0.25">
      <c r="C7" s="2">
        <v>5</v>
      </c>
      <c r="D7" s="2">
        <v>5</v>
      </c>
      <c r="E7" s="2">
        <v>2009</v>
      </c>
      <c r="L7" s="32"/>
    </row>
    <row r="8" spans="1:12" ht="15.75" x14ac:dyDescent="0.25">
      <c r="C8" s="2">
        <v>6</v>
      </c>
      <c r="D8" s="2">
        <v>6</v>
      </c>
      <c r="E8" s="2">
        <v>2008</v>
      </c>
      <c r="L8" s="32"/>
    </row>
    <row r="9" spans="1:12" ht="15.75" x14ac:dyDescent="0.25">
      <c r="C9" s="2">
        <v>7</v>
      </c>
      <c r="D9" s="2">
        <v>7</v>
      </c>
      <c r="E9" s="2">
        <v>2007</v>
      </c>
      <c r="L9" s="32"/>
    </row>
    <row r="10" spans="1:12" x14ac:dyDescent="0.25">
      <c r="C10" s="2">
        <v>8</v>
      </c>
      <c r="D10" s="2">
        <v>8</v>
      </c>
      <c r="E10" s="2">
        <v>2006</v>
      </c>
    </row>
    <row r="11" spans="1:12" ht="15.75" x14ac:dyDescent="0.25">
      <c r="C11" s="2">
        <v>9</v>
      </c>
      <c r="D11" s="2">
        <v>9</v>
      </c>
      <c r="E11" s="2">
        <v>2005</v>
      </c>
      <c r="L11" s="32"/>
    </row>
    <row r="12" spans="1:12" x14ac:dyDescent="0.25">
      <c r="C12" s="2">
        <v>10</v>
      </c>
      <c r="D12" s="2">
        <v>10</v>
      </c>
      <c r="E12" s="2">
        <v>2004</v>
      </c>
    </row>
    <row r="13" spans="1:12" x14ac:dyDescent="0.25">
      <c r="C13" s="2">
        <v>11</v>
      </c>
      <c r="D13" s="2">
        <v>11</v>
      </c>
      <c r="E13" s="2">
        <v>2003</v>
      </c>
    </row>
    <row r="14" spans="1:12" x14ac:dyDescent="0.25">
      <c r="C14" s="2">
        <v>12</v>
      </c>
      <c r="D14" s="2">
        <v>12</v>
      </c>
      <c r="E14" s="2">
        <v>2002</v>
      </c>
    </row>
    <row r="15" spans="1:12" x14ac:dyDescent="0.25">
      <c r="C15" s="2">
        <v>13</v>
      </c>
      <c r="E15" s="2">
        <v>2001</v>
      </c>
    </row>
    <row r="16" spans="1:12" x14ac:dyDescent="0.25">
      <c r="C16" s="2">
        <v>14</v>
      </c>
      <c r="E16" s="2">
        <v>2000</v>
      </c>
    </row>
    <row r="17" spans="3:5" x14ac:dyDescent="0.25">
      <c r="C17" s="2">
        <v>15</v>
      </c>
      <c r="E17" s="2">
        <v>1999</v>
      </c>
    </row>
    <row r="18" spans="3:5" x14ac:dyDescent="0.25">
      <c r="C18" s="2">
        <v>16</v>
      </c>
      <c r="E18" s="2">
        <v>1998</v>
      </c>
    </row>
    <row r="19" spans="3:5" x14ac:dyDescent="0.25">
      <c r="C19" s="2">
        <v>17</v>
      </c>
      <c r="E19" s="2">
        <v>1997</v>
      </c>
    </row>
    <row r="20" spans="3:5" x14ac:dyDescent="0.25">
      <c r="C20" s="2">
        <v>18</v>
      </c>
      <c r="E20" s="2">
        <v>1996</v>
      </c>
    </row>
    <row r="21" spans="3:5" x14ac:dyDescent="0.25">
      <c r="C21" s="2">
        <v>19</v>
      </c>
      <c r="E21" s="2">
        <v>1995</v>
      </c>
    </row>
    <row r="22" spans="3:5" x14ac:dyDescent="0.25">
      <c r="C22" s="2">
        <v>20</v>
      </c>
      <c r="E22" s="2">
        <v>1994</v>
      </c>
    </row>
    <row r="23" spans="3:5" x14ac:dyDescent="0.25">
      <c r="C23" s="2">
        <v>21</v>
      </c>
      <c r="E23" s="2">
        <v>1993</v>
      </c>
    </row>
    <row r="24" spans="3:5" x14ac:dyDescent="0.25">
      <c r="C24" s="2">
        <v>22</v>
      </c>
      <c r="E24" s="2">
        <v>1992</v>
      </c>
    </row>
    <row r="25" spans="3:5" x14ac:dyDescent="0.25">
      <c r="C25" s="2">
        <v>23</v>
      </c>
      <c r="E25" s="2">
        <v>1991</v>
      </c>
    </row>
    <row r="26" spans="3:5" x14ac:dyDescent="0.25">
      <c r="C26" s="2">
        <v>24</v>
      </c>
      <c r="E26" s="2">
        <v>1990</v>
      </c>
    </row>
    <row r="27" spans="3:5" x14ac:dyDescent="0.25">
      <c r="C27" s="2">
        <v>25</v>
      </c>
      <c r="E27" s="2">
        <v>1989</v>
      </c>
    </row>
    <row r="28" spans="3:5" x14ac:dyDescent="0.25">
      <c r="C28" s="2">
        <v>26</v>
      </c>
      <c r="E28" s="2">
        <v>1988</v>
      </c>
    </row>
    <row r="29" spans="3:5" x14ac:dyDescent="0.25">
      <c r="C29" s="2">
        <v>27</v>
      </c>
      <c r="E29" s="2">
        <v>1987</v>
      </c>
    </row>
    <row r="30" spans="3:5" x14ac:dyDescent="0.25">
      <c r="C30" s="2">
        <v>28</v>
      </c>
      <c r="E30" s="2">
        <v>1986</v>
      </c>
    </row>
    <row r="31" spans="3:5" x14ac:dyDescent="0.25">
      <c r="C31" s="2">
        <v>29</v>
      </c>
      <c r="E31" s="2">
        <v>1985</v>
      </c>
    </row>
    <row r="32" spans="3:5" x14ac:dyDescent="0.25">
      <c r="C32" s="2">
        <v>30</v>
      </c>
      <c r="E32" s="2">
        <v>1984</v>
      </c>
    </row>
    <row r="33" spans="3:5" x14ac:dyDescent="0.25">
      <c r="C33" s="2">
        <v>31</v>
      </c>
      <c r="E33" s="2">
        <v>1983</v>
      </c>
    </row>
    <row r="34" spans="3:5" x14ac:dyDescent="0.25">
      <c r="E34" s="2">
        <v>1982</v>
      </c>
    </row>
    <row r="35" spans="3:5" x14ac:dyDescent="0.25">
      <c r="E35" s="2">
        <v>1981</v>
      </c>
    </row>
    <row r="36" spans="3:5" x14ac:dyDescent="0.25">
      <c r="E36" s="2">
        <v>1980</v>
      </c>
    </row>
    <row r="37" spans="3:5" x14ac:dyDescent="0.25">
      <c r="E37" s="2">
        <v>1979</v>
      </c>
    </row>
    <row r="38" spans="3:5" x14ac:dyDescent="0.25">
      <c r="E38" s="2">
        <v>1978</v>
      </c>
    </row>
    <row r="39" spans="3:5" x14ac:dyDescent="0.25">
      <c r="E39" s="2">
        <v>1977</v>
      </c>
    </row>
    <row r="40" spans="3:5" x14ac:dyDescent="0.25">
      <c r="E40" s="2">
        <v>1976</v>
      </c>
    </row>
    <row r="41" spans="3:5" x14ac:dyDescent="0.25">
      <c r="E41" s="2">
        <v>1975</v>
      </c>
    </row>
    <row r="42" spans="3:5" x14ac:dyDescent="0.25">
      <c r="E42" s="2">
        <v>1974</v>
      </c>
    </row>
    <row r="43" spans="3:5" x14ac:dyDescent="0.25">
      <c r="E43" s="2">
        <v>1973</v>
      </c>
    </row>
    <row r="44" spans="3:5" x14ac:dyDescent="0.25">
      <c r="E44" s="2">
        <v>1972</v>
      </c>
    </row>
    <row r="45" spans="3:5" x14ac:dyDescent="0.25">
      <c r="E45" s="2">
        <v>1971</v>
      </c>
    </row>
    <row r="46" spans="3:5" x14ac:dyDescent="0.25">
      <c r="E46" s="2">
        <v>1970</v>
      </c>
    </row>
    <row r="47" spans="3:5" x14ac:dyDescent="0.25">
      <c r="E47" s="2">
        <v>1969</v>
      </c>
    </row>
    <row r="48" spans="3:5" x14ac:dyDescent="0.25">
      <c r="E48" s="2">
        <v>1968</v>
      </c>
    </row>
    <row r="49" spans="5:5" x14ac:dyDescent="0.25">
      <c r="E49" s="2">
        <v>1967</v>
      </c>
    </row>
    <row r="50" spans="5:5" x14ac:dyDescent="0.25">
      <c r="E50" s="2">
        <v>1966</v>
      </c>
    </row>
    <row r="51" spans="5:5" x14ac:dyDescent="0.25">
      <c r="E51" s="2">
        <v>1965</v>
      </c>
    </row>
    <row r="52" spans="5:5" x14ac:dyDescent="0.25">
      <c r="E52" s="2">
        <v>1964</v>
      </c>
    </row>
    <row r="53" spans="5:5" x14ac:dyDescent="0.25">
      <c r="E53" s="2">
        <v>1963</v>
      </c>
    </row>
    <row r="54" spans="5:5" x14ac:dyDescent="0.25">
      <c r="E54" s="2">
        <v>1962</v>
      </c>
    </row>
    <row r="55" spans="5:5" x14ac:dyDescent="0.25">
      <c r="E55" s="2">
        <v>1961</v>
      </c>
    </row>
    <row r="56" spans="5:5" x14ac:dyDescent="0.25">
      <c r="E56" s="2">
        <v>1960</v>
      </c>
    </row>
    <row r="57" spans="5:5" x14ac:dyDescent="0.25">
      <c r="E57" s="2">
        <v>1959</v>
      </c>
    </row>
    <row r="58" spans="5:5" x14ac:dyDescent="0.25">
      <c r="E58" s="2">
        <v>1958</v>
      </c>
    </row>
    <row r="59" spans="5:5" x14ac:dyDescent="0.25">
      <c r="E59" s="2">
        <v>1957</v>
      </c>
    </row>
    <row r="60" spans="5:5" x14ac:dyDescent="0.25">
      <c r="E60" s="2">
        <v>1956</v>
      </c>
    </row>
    <row r="61" spans="5:5" x14ac:dyDescent="0.25">
      <c r="E61" s="2">
        <v>1955</v>
      </c>
    </row>
    <row r="62" spans="5:5" x14ac:dyDescent="0.25">
      <c r="E62" s="2">
        <v>1954</v>
      </c>
    </row>
    <row r="63" spans="5:5" x14ac:dyDescent="0.25">
      <c r="E63" s="2">
        <v>1953</v>
      </c>
    </row>
    <row r="64" spans="5:5" x14ac:dyDescent="0.25">
      <c r="E64" s="2">
        <v>1952</v>
      </c>
    </row>
    <row r="65" spans="5:5" x14ac:dyDescent="0.25">
      <c r="E65" s="2">
        <v>1951</v>
      </c>
    </row>
    <row r="66" spans="5:5" x14ac:dyDescent="0.25">
      <c r="E66" s="2">
        <v>1950</v>
      </c>
    </row>
    <row r="67" spans="5:5" x14ac:dyDescent="0.25">
      <c r="E67" s="2">
        <v>1949</v>
      </c>
    </row>
    <row r="68" spans="5:5" x14ac:dyDescent="0.25">
      <c r="E68" s="2">
        <v>1948</v>
      </c>
    </row>
    <row r="69" spans="5:5" x14ac:dyDescent="0.25">
      <c r="E69" s="2">
        <v>1947</v>
      </c>
    </row>
    <row r="70" spans="5:5" x14ac:dyDescent="0.25">
      <c r="E70" s="2">
        <v>1946</v>
      </c>
    </row>
    <row r="71" spans="5:5" x14ac:dyDescent="0.25">
      <c r="E71" s="2">
        <v>1945</v>
      </c>
    </row>
    <row r="72" spans="5:5" x14ac:dyDescent="0.25">
      <c r="E72" s="2">
        <v>1944</v>
      </c>
    </row>
    <row r="73" spans="5:5" x14ac:dyDescent="0.25">
      <c r="E73" s="2">
        <v>1943</v>
      </c>
    </row>
    <row r="74" spans="5:5" x14ac:dyDescent="0.25">
      <c r="E74" s="2">
        <v>1942</v>
      </c>
    </row>
    <row r="75" spans="5:5" x14ac:dyDescent="0.25">
      <c r="E75" s="2">
        <v>1941</v>
      </c>
    </row>
    <row r="76" spans="5:5" x14ac:dyDescent="0.25">
      <c r="E76" s="2">
        <v>1940</v>
      </c>
    </row>
  </sheetData>
  <sortState ref="E3:E76">
    <sortCondition descending="1" ref="E3"/>
  </sortState>
  <mergeCells count="1">
    <mergeCell ref="C1:E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Q1622"/>
  <sheetViews>
    <sheetView showGridLines="0" showRowColHeaders="0" zoomScale="98" zoomScaleNormal="98" workbookViewId="0">
      <selection activeCell="C1" sqref="C1"/>
    </sheetView>
  </sheetViews>
  <sheetFormatPr defaultColWidth="0" defaultRowHeight="15" zeroHeight="1" x14ac:dyDescent="0.25"/>
  <cols>
    <col min="1" max="1" width="5.140625" style="1" customWidth="1"/>
    <col min="2" max="2" width="8.85546875" style="1" bestFit="1" customWidth="1"/>
    <col min="3" max="3" width="16" style="1" customWidth="1"/>
    <col min="4" max="4" width="7.5703125" style="1" bestFit="1" customWidth="1"/>
    <col min="5" max="5" width="7.28515625" style="1" customWidth="1"/>
    <col min="6" max="6" width="6.85546875" style="1" bestFit="1" customWidth="1"/>
    <col min="7" max="7" width="7.5703125" style="1" customWidth="1"/>
    <col min="8" max="8" width="23" style="1" customWidth="1"/>
    <col min="9" max="9" width="22.140625" style="1" customWidth="1"/>
    <col min="10" max="10" width="18.85546875" style="1" customWidth="1"/>
    <col min="11" max="11" width="15.5703125" style="56" customWidth="1"/>
    <col min="12" max="12" width="14.42578125" style="56" bestFit="1" customWidth="1"/>
    <col min="13" max="13" width="14.85546875" style="1" bestFit="1" customWidth="1"/>
    <col min="14" max="17" width="9.140625" style="1" customWidth="1"/>
    <col min="18" max="16384" width="9.140625" style="1" hidden="1"/>
  </cols>
  <sheetData>
    <row r="1" spans="1:13" s="2" customFormat="1" ht="65.25" thickBot="1" x14ac:dyDescent="0.3">
      <c r="A1" s="64"/>
      <c r="B1" s="64"/>
      <c r="C1" s="64"/>
      <c r="D1" s="64"/>
      <c r="E1" s="64"/>
      <c r="F1" s="64"/>
      <c r="G1" s="64"/>
      <c r="H1" s="65" t="s">
        <v>197</v>
      </c>
      <c r="I1" s="64"/>
      <c r="J1" s="64"/>
      <c r="K1" s="64"/>
      <c r="L1" s="64"/>
      <c r="M1" s="64"/>
    </row>
    <row r="2" spans="1:13" s="2" customFormat="1" ht="15.75" thickTop="1" x14ac:dyDescent="0.25">
      <c r="A2" s="11" t="s">
        <v>116</v>
      </c>
      <c r="B2" s="11" t="s">
        <v>147</v>
      </c>
      <c r="C2" s="11" t="s">
        <v>148</v>
      </c>
      <c r="D2" s="11" t="s">
        <v>149</v>
      </c>
      <c r="E2" s="8" t="s">
        <v>151</v>
      </c>
      <c r="F2" s="11" t="s">
        <v>152</v>
      </c>
      <c r="G2" s="8" t="s">
        <v>17</v>
      </c>
      <c r="H2" s="11" t="s">
        <v>113</v>
      </c>
      <c r="I2" s="8" t="s">
        <v>198</v>
      </c>
      <c r="J2" s="11" t="s">
        <v>112</v>
      </c>
      <c r="K2" s="8" t="s">
        <v>146</v>
      </c>
      <c r="L2" s="11" t="s">
        <v>153</v>
      </c>
      <c r="M2" s="11" t="s">
        <v>172</v>
      </c>
    </row>
    <row r="3" spans="1:13" s="2" customFormat="1" x14ac:dyDescent="0.25">
      <c r="A3" s="1" t="s">
        <v>66</v>
      </c>
      <c r="B3" s="1">
        <v>0</v>
      </c>
      <c r="C3" s="1">
        <v>0</v>
      </c>
      <c r="D3" s="1" t="s">
        <v>155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56">
        <v>0</v>
      </c>
      <c r="L3" s="56">
        <v>0</v>
      </c>
      <c r="M3" s="1" t="s">
        <v>109</v>
      </c>
    </row>
    <row r="4" spans="1:13" s="2" customFormat="1" x14ac:dyDescent="0.25">
      <c r="A4" s="78" t="s">
        <v>66</v>
      </c>
      <c r="B4" s="78" t="s">
        <v>200</v>
      </c>
      <c r="C4" s="78" t="s">
        <v>201</v>
      </c>
      <c r="D4" s="78" t="s">
        <v>155</v>
      </c>
      <c r="E4" s="78">
        <v>20</v>
      </c>
      <c r="F4" s="78">
        <v>1</v>
      </c>
      <c r="G4" s="78">
        <v>1980</v>
      </c>
      <c r="H4" s="78" t="s">
        <v>202</v>
      </c>
      <c r="I4" s="78" t="s">
        <v>214</v>
      </c>
      <c r="J4" s="78" t="s">
        <v>215</v>
      </c>
      <c r="K4" s="79">
        <v>2089654741</v>
      </c>
      <c r="L4" s="79">
        <v>781046903</v>
      </c>
      <c r="M4" s="78" t="s">
        <v>109</v>
      </c>
    </row>
    <row r="5" spans="1:13" s="2" customFormat="1" x14ac:dyDescent="0.25">
      <c r="A5" s="78" t="s">
        <v>66</v>
      </c>
      <c r="B5" s="78" t="s">
        <v>204</v>
      </c>
      <c r="C5" s="78" t="s">
        <v>205</v>
      </c>
      <c r="D5" s="78" t="s">
        <v>155</v>
      </c>
      <c r="E5" s="78">
        <v>5</v>
      </c>
      <c r="F5" s="78">
        <v>5</v>
      </c>
      <c r="G5" s="78">
        <v>1990</v>
      </c>
      <c r="H5" s="78" t="s">
        <v>211</v>
      </c>
      <c r="I5" s="78" t="s">
        <v>212</v>
      </c>
      <c r="J5" s="78" t="s">
        <v>213</v>
      </c>
      <c r="K5" s="79">
        <v>2085941235</v>
      </c>
      <c r="L5" s="79">
        <v>7419302581</v>
      </c>
      <c r="M5" s="78" t="s">
        <v>109</v>
      </c>
    </row>
    <row r="6" spans="1:13" s="2" customFormat="1" x14ac:dyDescent="0.25">
      <c r="A6" s="78" t="s">
        <v>68</v>
      </c>
      <c r="B6" s="78" t="s">
        <v>206</v>
      </c>
      <c r="C6" s="78" t="s">
        <v>207</v>
      </c>
      <c r="D6" s="78" t="s">
        <v>156</v>
      </c>
      <c r="E6" s="78">
        <v>5</v>
      </c>
      <c r="F6" s="78">
        <v>12</v>
      </c>
      <c r="G6" s="78">
        <v>1988</v>
      </c>
      <c r="H6" s="78" t="s">
        <v>208</v>
      </c>
      <c r="I6" s="78" t="s">
        <v>209</v>
      </c>
      <c r="J6" s="78" t="s">
        <v>210</v>
      </c>
      <c r="K6" s="79">
        <v>2047854128</v>
      </c>
      <c r="L6" s="79">
        <v>7814575411</v>
      </c>
      <c r="M6" s="78" t="s">
        <v>111</v>
      </c>
    </row>
    <row r="7" spans="1:13" s="2" customFormat="1" x14ac:dyDescent="0.25">
      <c r="A7" s="2" t="str">
        <f>'New Staff'!M6</f>
        <v>Mr</v>
      </c>
      <c r="B7" s="2">
        <f>'New Staff'!M7</f>
        <v>0</v>
      </c>
      <c r="C7" s="2">
        <f>'New Staff'!M8</f>
        <v>0</v>
      </c>
      <c r="D7" s="2" t="str">
        <f>'New Staff'!M9</f>
        <v>Male</v>
      </c>
      <c r="E7" s="2">
        <f>'New Staff'!M10</f>
        <v>0</v>
      </c>
      <c r="F7" s="2">
        <f>'New Staff'!M11</f>
        <v>0</v>
      </c>
      <c r="G7" s="2">
        <f>'New Staff'!M12</f>
        <v>0</v>
      </c>
      <c r="H7" s="2">
        <f>'New Staff'!M13</f>
        <v>0</v>
      </c>
      <c r="I7" s="2">
        <f>'New Staff'!M15</f>
        <v>0</v>
      </c>
      <c r="J7" s="2">
        <f>'New Staff'!M15</f>
        <v>0</v>
      </c>
      <c r="K7" s="77">
        <f>'New Staff'!M16</f>
        <v>0</v>
      </c>
      <c r="L7" s="77">
        <f>'New Staff'!M17</f>
        <v>0</v>
      </c>
      <c r="M7" s="2" t="str">
        <f>'New Staff'!M18</f>
        <v>Chef</v>
      </c>
    </row>
    <row r="8" spans="1:13" s="2" customFormat="1" x14ac:dyDescent="0.25">
      <c r="K8" s="77"/>
      <c r="L8" s="77"/>
    </row>
    <row r="9" spans="1:13" s="2" customFormat="1" x14ac:dyDescent="0.25">
      <c r="K9" s="77"/>
      <c r="L9" s="77"/>
    </row>
    <row r="10" spans="1:13" s="2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56"/>
      <c r="L10" s="56"/>
      <c r="M10" s="1"/>
    </row>
    <row r="11" spans="1:13" s="2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56"/>
      <c r="L11" s="56"/>
      <c r="M11" s="1"/>
    </row>
    <row r="12" spans="1:13" s="2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56"/>
      <c r="L12" s="56"/>
      <c r="M12" s="1"/>
    </row>
    <row r="13" spans="1:13" s="2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s="2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s="2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K16" s="1"/>
      <c r="L16" s="1"/>
    </row>
    <row r="17" spans="11:12" x14ac:dyDescent="0.25">
      <c r="K17" s="1"/>
      <c r="L17" s="1"/>
    </row>
    <row r="18" spans="11:12" x14ac:dyDescent="0.25">
      <c r="K18" s="1"/>
      <c r="L18" s="1"/>
    </row>
    <row r="19" spans="11:12" x14ac:dyDescent="0.25"/>
    <row r="20" spans="11:12" x14ac:dyDescent="0.25"/>
    <row r="21" spans="11:12" hidden="1" x14ac:dyDescent="0.25"/>
    <row r="22" spans="11:12" hidden="1" x14ac:dyDescent="0.25"/>
    <row r="23" spans="11:12" hidden="1" x14ac:dyDescent="0.25"/>
    <row r="24" spans="11:12" hidden="1" x14ac:dyDescent="0.25"/>
    <row r="25" spans="11:12" hidden="1" x14ac:dyDescent="0.25"/>
    <row r="26" spans="11:12" hidden="1" x14ac:dyDescent="0.25"/>
    <row r="27" spans="11:12" hidden="1" x14ac:dyDescent="0.25"/>
    <row r="28" spans="11:12" hidden="1" x14ac:dyDescent="0.25"/>
    <row r="29" spans="11:12" hidden="1" x14ac:dyDescent="0.25"/>
    <row r="30" spans="11:12" hidden="1" x14ac:dyDescent="0.25"/>
    <row r="31" spans="11:12" hidden="1" x14ac:dyDescent="0.25"/>
    <row r="32" spans="1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x14ac:dyDescent="0.25"/>
    <row r="1621" x14ac:dyDescent="0.25"/>
    <row r="1622" x14ac:dyDescent="0.25"/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B1:N10"/>
  <sheetViews>
    <sheetView showGridLines="0" showRowColHeaders="0" workbookViewId="0">
      <selection activeCell="B10" sqref="B10"/>
    </sheetView>
  </sheetViews>
  <sheetFormatPr defaultColWidth="0" defaultRowHeight="15" zeroHeight="1" x14ac:dyDescent="0.25"/>
  <cols>
    <col min="1" max="1" width="10.85546875" style="2" customWidth="1"/>
    <col min="2" max="13" width="9.140625" style="2" customWidth="1"/>
    <col min="14" max="14" width="1.42578125" style="1" customWidth="1"/>
    <col min="15" max="16384" width="0" style="2" hidden="1"/>
  </cols>
  <sheetData>
    <row r="1" spans="2:14" ht="6" customHeight="1" x14ac:dyDescent="0.25"/>
    <row r="2" spans="2:14" x14ac:dyDescent="0.25">
      <c r="B2" s="2" t="s">
        <v>195</v>
      </c>
    </row>
    <row r="3" spans="2:14" x14ac:dyDescent="0.25">
      <c r="B3" s="171" t="s">
        <v>230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59"/>
    </row>
    <row r="4" spans="2:14" x14ac:dyDescent="0.25">
      <c r="B4" s="173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59"/>
    </row>
    <row r="5" spans="2:14" x14ac:dyDescent="0.25">
      <c r="B5" s="173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59"/>
    </row>
    <row r="6" spans="2:14" x14ac:dyDescent="0.25">
      <c r="B6" s="173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59"/>
    </row>
    <row r="7" spans="2:14" x14ac:dyDescent="0.25">
      <c r="B7" s="173"/>
      <c r="C7" s="174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59"/>
    </row>
    <row r="8" spans="2:14" x14ac:dyDescent="0.25">
      <c r="B8" s="173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59"/>
    </row>
    <row r="9" spans="2:14" x14ac:dyDescent="0.25">
      <c r="B9" s="175"/>
      <c r="C9" s="176"/>
      <c r="D9" s="176"/>
      <c r="E9" s="176"/>
      <c r="F9" s="176"/>
      <c r="G9" s="176"/>
      <c r="H9" s="176"/>
      <c r="I9" s="176"/>
      <c r="J9" s="176"/>
      <c r="K9" s="176"/>
      <c r="L9" s="176"/>
      <c r="M9" s="176"/>
      <c r="N9" s="59"/>
    </row>
    <row r="10" spans="2:14" ht="4.5" customHeight="1" x14ac:dyDescent="0.25"/>
  </sheetData>
  <mergeCells count="1">
    <mergeCell ref="B3:M9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B1:N3"/>
  <sheetViews>
    <sheetView workbookViewId="0">
      <selection activeCell="B3" sqref="B3:N3"/>
    </sheetView>
  </sheetViews>
  <sheetFormatPr defaultRowHeight="15" x14ac:dyDescent="0.25"/>
  <cols>
    <col min="1" max="2" width="9.140625" style="2"/>
    <col min="3" max="3" width="13.28515625" style="2" customWidth="1"/>
    <col min="4" max="4" width="12.42578125" style="2" customWidth="1"/>
    <col min="5" max="5" width="10" style="2" customWidth="1"/>
    <col min="6" max="10" width="9.140625" style="2"/>
    <col min="11" max="11" width="9.85546875" style="2" bestFit="1" customWidth="1"/>
    <col min="12" max="12" width="14.42578125" style="77" bestFit="1" customWidth="1"/>
    <col min="13" max="13" width="7.28515625" style="77" bestFit="1" customWidth="1"/>
    <col min="14" max="16384" width="9.140625" style="2"/>
  </cols>
  <sheetData>
    <row r="1" spans="2:14" x14ac:dyDescent="0.25">
      <c r="L1" s="2"/>
      <c r="M1" s="2"/>
    </row>
    <row r="2" spans="2:14" x14ac:dyDescent="0.25">
      <c r="B2" s="1" t="s">
        <v>116</v>
      </c>
      <c r="C2" s="1" t="s">
        <v>147</v>
      </c>
      <c r="D2" s="1" t="s">
        <v>148</v>
      </c>
      <c r="E2" s="1" t="s">
        <v>149</v>
      </c>
      <c r="F2" s="1" t="s">
        <v>151</v>
      </c>
      <c r="G2" s="1" t="s">
        <v>152</v>
      </c>
      <c r="H2" s="1" t="s">
        <v>17</v>
      </c>
      <c r="I2" s="1" t="s">
        <v>113</v>
      </c>
      <c r="J2" s="1" t="s">
        <v>199</v>
      </c>
      <c r="K2" s="1" t="s">
        <v>112</v>
      </c>
      <c r="L2" s="1" t="s">
        <v>146</v>
      </c>
      <c r="M2" s="1" t="s">
        <v>153</v>
      </c>
      <c r="N2" s="1" t="s">
        <v>171</v>
      </c>
    </row>
    <row r="3" spans="2:14" x14ac:dyDescent="0.25">
      <c r="B3" s="2" t="str">
        <f>'New Staff'!M6</f>
        <v>Mr</v>
      </c>
      <c r="C3" s="2">
        <f>'New Staff'!M7</f>
        <v>0</v>
      </c>
      <c r="D3" s="2">
        <f>'New Staff'!M8</f>
        <v>0</v>
      </c>
      <c r="E3" s="2" t="str">
        <f>'New Staff'!M9</f>
        <v>Male</v>
      </c>
      <c r="F3" s="2">
        <f>'New Staff'!M10</f>
        <v>0</v>
      </c>
      <c r="G3" s="2">
        <f>'New Staff'!M11</f>
        <v>0</v>
      </c>
      <c r="H3" s="2">
        <f>'New Staff'!M12</f>
        <v>0</v>
      </c>
      <c r="I3" s="2">
        <f>'New Staff'!M13</f>
        <v>0</v>
      </c>
      <c r="J3" s="2">
        <f>'New Staff'!M14</f>
        <v>0</v>
      </c>
      <c r="K3" s="2">
        <f>'New Staff'!M15</f>
        <v>0</v>
      </c>
      <c r="L3" s="77">
        <f>'New Staff'!M16</f>
        <v>0</v>
      </c>
      <c r="M3" s="77">
        <f>'New Staff'!M17</f>
        <v>0</v>
      </c>
      <c r="N3" s="2" t="str">
        <f>'New Staff'!M18</f>
        <v>Chef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Homepage</vt:lpstr>
      <vt:lpstr>CusSearch</vt:lpstr>
      <vt:lpstr>StaffSearch</vt:lpstr>
      <vt:lpstr>Booking System</vt:lpstr>
      <vt:lpstr>Sheet2</vt:lpstr>
      <vt:lpstr>customer booking</vt:lpstr>
      <vt:lpstr>Temp Booking</vt:lpstr>
      <vt:lpstr>Order</vt:lpstr>
      <vt:lpstr>Menu</vt:lpstr>
      <vt:lpstr>Staff Data</vt:lpstr>
      <vt:lpstr>CashFlow</vt:lpstr>
      <vt:lpstr>Staff Payment</vt:lpstr>
      <vt:lpstr>Cutlery Count</vt:lpstr>
      <vt:lpstr>Staff scheduling</vt:lpstr>
      <vt:lpstr>New Staff</vt:lpstr>
      <vt:lpstr>Sheet5</vt:lpstr>
      <vt:lpstr>Staff details</vt:lpstr>
      <vt:lpstr>StaffNews</vt:lpstr>
      <vt:lpstr>Temp Staff</vt:lpstr>
      <vt:lpstr>Menu!Print_Area</vt:lpstr>
      <vt:lpstr>Order!Print_Area</vt:lpstr>
      <vt:lpstr>'Staff scheduling'!Print_Area</vt:lpstr>
    </vt:vector>
  </TitlesOfParts>
  <Company>RM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Bachus Kamaldeep (2006)</dc:creator>
  <cp:lastModifiedBy>Gagan</cp:lastModifiedBy>
  <cp:lastPrinted>2013-02-13T17:36:05Z</cp:lastPrinted>
  <dcterms:created xsi:type="dcterms:W3CDTF">2012-10-16T13:00:28Z</dcterms:created>
  <dcterms:modified xsi:type="dcterms:W3CDTF">2013-05-08T20:28:26Z</dcterms:modified>
</cp:coreProperties>
</file>